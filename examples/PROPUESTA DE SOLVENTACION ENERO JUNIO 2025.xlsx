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ESKTOP-47MFQ32\Cualquier Cosa\Ccltlax\2025\AUDITORIA OFS\AUDITORÍA OFS\"/>
    </mc:Choice>
  </mc:AlternateContent>
  <xr:revisionPtr revIDLastSave="0" documentId="8_{A745D729-3D93-4A70-A6FA-931B9A436448}" xr6:coauthVersionLast="47" xr6:coauthVersionMax="47" xr10:uidLastSave="{00000000-0000-0000-0000-000000000000}"/>
  <bookViews>
    <workbookView xWindow="-120" yWindow="-120" windowWidth="29040" windowHeight="15720" activeTab="1" xr2:uid="{E2D276AA-2961-45E2-97EC-586810C77E5A}"/>
  </bookViews>
  <sheets>
    <sheet name="SA" sheetId="1" r:id="rId1"/>
    <sheet name="PEFCF" sheetId="2" r:id="rId2"/>
    <sheet name="R" sheetId="3" r:id="rId3"/>
  </sheets>
  <definedNames>
    <definedName name="_xlnm.Print_Area" localSheetId="1">PEFCF!$A$1:$O$31</definedName>
    <definedName name="_xlnm.Print_Area" localSheetId="0">SA!$A$1:$O$229</definedName>
    <definedName name="_xlnm.Print_Titles" localSheetId="0">SA!$1:$10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21" i="1" l="1"/>
  <c r="O55" i="1" l="1"/>
</calcChain>
</file>

<file path=xl/sharedStrings.xml><?xml version="1.0" encoding="utf-8"?>
<sst xmlns="http://schemas.openxmlformats.org/spreadsheetml/2006/main" count="523" uniqueCount="386">
  <si>
    <t>No.</t>
  </si>
  <si>
    <t>REFERENCIA</t>
  </si>
  <si>
    <t>CONCEPTO</t>
  </si>
  <si>
    <t>IMPORTE</t>
  </si>
  <si>
    <t>($)</t>
  </si>
  <si>
    <t>MONTO OBSERVADO</t>
  </si>
  <si>
    <t>DESCRIPCIÓN DEL RESULTADO</t>
  </si>
  <si>
    <t>PÓLIZA / DOCUMENTO</t>
  </si>
  <si>
    <t>FECHA</t>
  </si>
  <si>
    <t>CONTROL INTERNO</t>
  </si>
  <si>
    <t>Oficio OFS/1982/2025</t>
  </si>
  <si>
    <t>Oficio CCLET/1119/2025</t>
  </si>
  <si>
    <t>INCONSISTENCIAS EN TRÁMITES, PROCESOS, SISTEMAS O EXPEDIENTES</t>
  </si>
  <si>
    <t>Proyecto 39 - 13. M-A-Control Administrativo CCLET</t>
  </si>
  <si>
    <t>Nivel</t>
  </si>
  <si>
    <t>Nombre de la meta</t>
  </si>
  <si>
    <t>Unidad de medida</t>
  </si>
  <si>
    <t>Meta Anual (a)</t>
  </si>
  <si>
    <t>Enero-Marzo</t>
  </si>
  <si>
    <t>Abril-Junio</t>
  </si>
  <si>
    <t>Observación</t>
  </si>
  <si>
    <t>Prog.</t>
  </si>
  <si>
    <t>Alc.</t>
  </si>
  <si>
    <t>Actividad</t>
  </si>
  <si>
    <t>Notificación</t>
  </si>
  <si>
    <t>Constancia de cumplimiento</t>
  </si>
  <si>
    <t>Pesos</t>
  </si>
  <si>
    <t>Porcentaje de requisiciones autorizadas o aprobadas para su ejecución</t>
  </si>
  <si>
    <t>Requisición</t>
  </si>
  <si>
    <t>Requerimiento de información y documentación Avance del Programa Operativo Anual y Medios de Verificación</t>
  </si>
  <si>
    <t>Porcentaje de notificaciones para asistir a la audiencia de conciliación realizadas</t>
  </si>
  <si>
    <t>Porcentaje de constancia de cumplimiento expedidas</t>
  </si>
  <si>
    <t>No alcanzaron la meta programada</t>
  </si>
  <si>
    <t>Porcentaje de ejecución del presupuesto</t>
  </si>
  <si>
    <t>Presentan como medio de verificación   el reporte del Área Administrativa de las requisiciones autorizadas, no obstante, en el Programa Operativo Anual del Centro de Conciliación Laboral, establecieron como documento que acredita	el cumplimiento de la  meta,   las requisiciones admitidas  por
dirección de adquisiciones y contratación de servicios de Oficialía Mayor de Gobierno.</t>
  </si>
  <si>
    <t>De la revisión, análisis y verificación a las metas del Programa Operativo Anual y medios de verificación del cumplimiento de metas e indicadores del ejercicio fiscal 2025 del proyecto 39 - 13. M-A-Control Administrativo CCLET del Centro de Conciliación Laboral del Estado de Tlaxcala, correspondientes al periodo comprendido del 01 de enero al 30 de junio de 2025, mismas que fueron requeridas mediante oficio número OFS/1982/2025 de fecha 08 de julio de 2025 y proporcionada a este Ente Fiscalizador mediante similar CCLET/1119/2025 de fecha 16 de julio de 2025; se constató que respecto a las metas programadas y reportadas como alcanzadas de manera trimestral, 3 actividades no alcanzaron el porcentaje establecido en el periodo, mientras que otra no fue debidamente soportada mediante evidencia documental que sustente la realización de la actividad de conformidad con la unidad de medida establecida, así mismo, deberá justificar el cumplimiento parcial de las actividades no alcanzadas, se detalla:</t>
  </si>
  <si>
    <t>No alcanzaron la	meta
programada</t>
  </si>
  <si>
    <t>NORMATIVIDAD INCUMPLIDA</t>
  </si>
  <si>
    <t>Artículos 272 y 302 del Código Financiero para el Estado de Tlaxcala y sus Municipios, 1 párrafo sexto, 148 fracción II y 152 párrafo primero del Presupuesto de Egresos del Estado de Tlaxcala para el Ejercicio Fiscal 2025, 5 del Acuerdo que Establece los Lineamientos y Políticas Generales del Ejercicio del Presupuesto, las Medidas de Mejora y Modernización, así como de Austeridad del Gasto Público de la Gestión Administrativa, décimo noveno de los Lineamientos Generales para la Evaluación de los Programas Presupuestarios del Gobierno del Estado de Tlaxcala y Manual para el Diseño y la Construcción de Indicadores, Instrumentos principales para el Monitoreo de Programas Sociales de México emitido por el Consejo Nacional de Evaluación de la Política de Desarrollo Social.</t>
  </si>
  <si>
    <t>PROPUESTA DE SOLVENTACIÓN</t>
  </si>
  <si>
    <r>
      <t xml:space="preserve">De la revisión física a la documentación que integran los </t>
    </r>
    <r>
      <rPr>
        <b/>
        <sz val="7.5"/>
        <color rgb="FF333333"/>
        <rFont val="Arial"/>
        <family val="2"/>
      </rPr>
      <t xml:space="preserve">expedientes del personal </t>
    </r>
    <r>
      <rPr>
        <sz val="7.5"/>
        <color rgb="FF333333"/>
        <rFont val="Arial"/>
        <family val="2"/>
      </rPr>
      <t xml:space="preserve">adscrito al </t>
    </r>
    <r>
      <rPr>
        <b/>
        <sz val="7.5"/>
        <color rgb="FF333333"/>
        <rFont val="Arial"/>
        <family val="2"/>
      </rPr>
      <t xml:space="preserve">Centro de Conciliación Laboral del Estado de Tlaxcala, </t>
    </r>
    <r>
      <rPr>
        <sz val="7.5"/>
        <color rgb="FF333333"/>
        <rFont val="Arial"/>
        <family val="2"/>
      </rPr>
      <t xml:space="preserve">solicitada mediante oficio número </t>
    </r>
    <r>
      <rPr>
        <b/>
        <sz val="7.5"/>
        <color rgb="FF333333"/>
        <rFont val="Arial"/>
        <family val="2"/>
      </rPr>
      <t xml:space="preserve">OFS/1982/2025 </t>
    </r>
    <r>
      <rPr>
        <sz val="7.5"/>
        <color rgb="FF333333"/>
        <rFont val="Arial"/>
        <family val="2"/>
      </rPr>
      <t xml:space="preserve">de fecha 08 de julio de 2025, misma que fue remitida y puesta a disposición a este Ente Fiscalizador mediante similar </t>
    </r>
    <r>
      <rPr>
        <b/>
        <sz val="7.5"/>
        <color rgb="FF333333"/>
        <rFont val="Arial"/>
        <family val="2"/>
      </rPr>
      <t xml:space="preserve">CCLET/1119/2025 </t>
    </r>
    <r>
      <rPr>
        <sz val="7.5"/>
        <color rgb="FF333333"/>
        <rFont val="Arial"/>
        <family val="2"/>
      </rPr>
      <t xml:space="preserve">de fecha 16 de julio de 2025, se constato que las Constancias de Situación Fiscal expedidas por el Servicio de Administración Tributaria "SAT", correspondientes a las Cc. </t>
    </r>
    <r>
      <rPr>
        <b/>
        <sz val="7.5"/>
        <color rgb="FF333333"/>
        <rFont val="Arial"/>
        <family val="2"/>
      </rPr>
      <t xml:space="preserve">Dydia Muñoz Vázquez </t>
    </r>
    <r>
      <rPr>
        <sz val="7.5"/>
        <color rgb="FF333333"/>
        <rFont val="Arial"/>
        <family val="2"/>
      </rPr>
      <t xml:space="preserve">y </t>
    </r>
    <r>
      <rPr>
        <b/>
        <sz val="7.5"/>
        <color rgb="FF333333"/>
        <rFont val="Arial"/>
        <family val="2"/>
      </rPr>
      <t>Angelica Sánchez Cortés</t>
    </r>
    <r>
      <rPr>
        <sz val="7.5"/>
        <color rgb="FF333333"/>
        <rFont val="Arial"/>
        <family val="2"/>
      </rPr>
      <t xml:space="preserve">, quienes se desempeñan como Contador General y Conciliador, respectivamente, </t>
    </r>
    <r>
      <rPr>
        <b/>
        <sz val="7.5"/>
        <color rgb="FF333333"/>
        <rFont val="Arial"/>
        <family val="2"/>
      </rPr>
      <t>no cuentan con la actividad económica requerida para el timbrado de nómina y retenciones de obligaciones fiscales, por las prestaciones que perciben como servidores públicos</t>
    </r>
    <r>
      <rPr>
        <sz val="7.5"/>
        <color rgb="FF333333"/>
        <rFont val="Arial"/>
        <family val="2"/>
      </rPr>
      <t>, en virtud de que en sus constancias se describen las siguientes actividades económicas, "Otros intermediarios de comercio al por menor" e "Impartición de justicia y mantenimiento de la seguridad y el orden pública en el nivel federal", respectivamente.</t>
    </r>
  </si>
  <si>
    <t>Se detalla:</t>
  </si>
  <si>
    <t>Por lo anterior, las servidoras públicas deberán regularizar su situación fiscal e integrar la documentación correspondiente.</t>
  </si>
  <si>
    <t>Artículos 27 apartado a fracción I inciso b) B fracción II del Código Fiscal de la Federación, 29 fracciones VI, 30 fracción V del Reglamento del Código Fiscal de la Federación, 46 fracción IX de la Ley Laboral de Servidores Públicos del Estado de Tlaxcala y sus Municipios y 302 del Código Financiero para el Estado de Tlaxcala y sus Municipios.</t>
  </si>
  <si>
    <t>Nombre</t>
  </si>
  <si>
    <t>Puesto</t>
  </si>
  <si>
    <t>Actividad económica</t>
  </si>
  <si>
    <t>Dydia Muñoz Vázquez</t>
  </si>
  <si>
    <t>Contador General</t>
  </si>
  <si>
    <t>Otros intermediarios del comercio al por menor.</t>
  </si>
  <si>
    <t>Angelica Sánchez Cortés</t>
  </si>
  <si>
    <t>Conciliador</t>
  </si>
  <si>
    <t>Impartición de justicia y mantenimiento de la seguridad y el orden pública en el nivel federal.</t>
  </si>
  <si>
    <t>Requerimiento de información y documentación Expedientes de personal</t>
  </si>
  <si>
    <t>Fecha de alta de la actividad</t>
  </si>
  <si>
    <t>Expedientes del personal</t>
  </si>
  <si>
    <r>
      <t xml:space="preserve">De lo anterior, es responsabilidad de los servidores públicos encargados del proceso de selección y contratación, </t>
    </r>
    <r>
      <rPr>
        <b/>
        <sz val="7.5"/>
        <color rgb="FF333333"/>
        <rFont val="Arial"/>
        <family val="2"/>
      </rPr>
      <t xml:space="preserve">llevar a cabo la correcta integración </t>
    </r>
    <r>
      <rPr>
        <sz val="7.5"/>
        <color rgb="FF333333"/>
        <rFont val="Arial"/>
        <family val="2"/>
      </rPr>
      <t>de la información. Se detalla la documentación faltante:</t>
    </r>
  </si>
  <si>
    <t>Artículos 3 fracción V y 46 fracción IX de la Ley Laboral de Servidores Públicos del Estado de Tlaxcala y sus Municipios, 302 del Código Financiero para el Estado de Tlaxcala y sus Municipios y 42 fracción X del Acuerdo que Establece los Lineamientos y Políticas Generales del Ejercicio del Presupuesto, las Medidas de Mejora y Modernización, así como de Austeridad del Gasto Público de la Gestión Administrativa.</t>
  </si>
  <si>
    <r>
      <t>De la revisión a los expedientes del personal adscritos al Centro de Conciliación Laboral del Estado de Tlaxcala, solicitados para su revisión a través del oficio OFS/1982/2025 de fecha 08 de julio de 2025, y puestos a disposición en las instalaciones del Centro, el día 04 de septiembre de 2025; se detectó que 11 expedientes no cuentan con documentación que acredite la identidad, experiencia, perfil y requisitos de acuerdo a las funciones de su competencia de cada trabajador</t>
    </r>
    <r>
      <rPr>
        <sz val="7.5"/>
        <color rgb="FF333333"/>
        <rFont val="Arial"/>
        <family val="2"/>
      </rPr>
      <t>, tales como: solicitud de empleo, credencial de elector, constancia de situación fiscal, constancia de antecedentes no penales, licencia de conducir, así mismo el Ente Fiscalizable deberá de presentar los contratos de servicios profesionales correspondientes al ejercicio fiscal 2025, del personal que forma parte de su plantilla autorizada.</t>
    </r>
  </si>
  <si>
    <t>Requerimiento de información y documentación Revisión física y documentación que integran los expedientes del personal</t>
  </si>
  <si>
    <t>Nombre del trabajador</t>
  </si>
  <si>
    <t>Documentación faltante</t>
  </si>
  <si>
    <t>Mildred Paola Montealegre Corona</t>
  </si>
  <si>
    <t>Solicitud de Empleo</t>
  </si>
  <si>
    <t>Constancia de Situación Fiscal</t>
  </si>
  <si>
    <t>Gregorio Lara Bonilla</t>
  </si>
  <si>
    <t>Acela Beristain Nava</t>
  </si>
  <si>
    <t>Dania Pérez Rojas</t>
  </si>
  <si>
    <t>Agustín Guadalupe Rodríguez Texis</t>
  </si>
  <si>
    <t>Edwinng Hernández Palacios</t>
  </si>
  <si>
    <t>Constancia de Antecedentes No Penales</t>
  </si>
  <si>
    <t>Virginia Hernández Ramírez</t>
  </si>
  <si>
    <t>Licencia de Conducir</t>
  </si>
  <si>
    <t>Stephanie Galicia Sánchez</t>
  </si>
  <si>
    <t>Edgar Portillo Sánchez</t>
  </si>
  <si>
    <t>Kennya Kristal Carro Sánchez</t>
  </si>
  <si>
    <t>Iván García Muñoz</t>
  </si>
  <si>
    <t>Credencial de elector</t>
  </si>
  <si>
    <t xml:space="preserve"> Constancia de Situación Fiscal</t>
  </si>
  <si>
    <t>REGISTROS CONTABLES Y DOCUMENTACIÓN COMPROBATORIA Y JUSTIFICATIVA</t>
  </si>
  <si>
    <t>Póliza C00014</t>
  </si>
  <si>
    <t>Póliza P00045</t>
  </si>
  <si>
    <t>OMISIÓN DE COMPROBANTE FISCAL DIGITAL POR INTERNET</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</si>
  <si>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erogaron </t>
    </r>
    <r>
      <rPr>
        <b/>
        <sz val="7.5"/>
        <color rgb="FF333333"/>
        <rFont val="Arial"/>
        <family val="2"/>
      </rPr>
      <t xml:space="preserve">$11,090.00 </t>
    </r>
    <r>
      <rPr>
        <sz val="7.5"/>
        <color rgb="FF333333"/>
        <rFont val="Arial"/>
        <family val="2"/>
      </rPr>
      <t>por concepto de "</t>
    </r>
    <r>
      <rPr>
        <b/>
        <sz val="7.5"/>
        <color rgb="FF333333"/>
        <rFont val="Arial"/>
        <family val="2"/>
      </rPr>
      <t>servicio de energía eléctrica"</t>
    </r>
    <r>
      <rPr>
        <sz val="7.5"/>
        <color rgb="FF333333"/>
        <rFont val="Arial"/>
        <family val="2"/>
      </rPr>
      <t xml:space="preserve">, importe que fue pagado mediante transferencias electrónicas de la cuenta bancaria ****0895, aperturada en la institución financiera Banco Mercantil del Norte S.A., a favor del proveedor </t>
    </r>
    <r>
      <rPr>
        <b/>
        <sz val="7.5"/>
        <color rgb="FF333333"/>
        <rFont val="Arial"/>
        <family val="2"/>
      </rPr>
      <t>"CFE Suministrador de Servicios Básicos"</t>
    </r>
    <r>
      <rPr>
        <sz val="7.5"/>
        <color rgb="FF333333"/>
        <rFont val="Arial"/>
        <family val="2"/>
      </rPr>
      <t xml:space="preserve">, no obstante, se detectó que las erogaciones realizadas </t>
    </r>
    <r>
      <rPr>
        <b/>
        <sz val="7.5"/>
        <color rgb="FF333333"/>
        <rFont val="Arial"/>
        <family val="2"/>
      </rPr>
      <t>carecen de Comprobantes Fiscales Digitales por Internet (CFDI´s)</t>
    </r>
    <r>
      <rPr>
        <sz val="7.5"/>
        <color rgb="FF333333"/>
        <rFont val="Arial"/>
        <family val="2"/>
      </rPr>
      <t>, que reúnan los requisitos fiscales en apego a lo establecido en los artículos 29 y 29-A del Código Fiscal de la Federación, se detallan los pagos</t>
    </r>
  </si>
  <si>
    <t>efectuados:</t>
  </si>
  <si>
    <t>Póliza C00040</t>
  </si>
  <si>
    <t>Póliza P00129</t>
  </si>
  <si>
    <t>Artículos 42 y 43 de la Ley General de Contabilidad Gubernamental, 29 y 29-A del Código Fiscal de la Federación, 302 del Código Financiero para el Estado de Tlaxcala y sus Municipios, 1 párrafos segundo, sexto y séptimo, 107 fracción III, 152 y 153 del Presupuesto de Egresos del Estado de Tlaxcala para el Ejercicio Fiscal 2025 y 12 fracción IV del Acuerdo que Establece los Lineamientos y Políticas Generales del Ejercicio del Presupuesto, las Medidas de Mejora y Modernización, así como de Austeridad del Gasto Público de la Gestión Administrativa.</t>
  </si>
  <si>
    <t>Servicio de energía eléctrica 26 DIC 24 AL 27 ENE 25. GP CFE suministrador   de servicios, folio pago: 10</t>
  </si>
  <si>
    <t>Servicio de energía eléctrica 26 DIC 24 AL 27 ENE     25.     GD Compra : 10 factura: 223231001432, 43 CFE suministrador de servicios</t>
  </si>
  <si>
    <t>Servicio de energía   eléctrica 27 ENE AL 25 FEB 25. GP CFE suministrador de servicios, Folio Pago: 27</t>
  </si>
  <si>
    <t>Servicio de energía   eléctrica 27   ENE AL   25 FEB 25. GD Compra: 27 Factura: 223231001432, 43 CFE suministrador</t>
  </si>
  <si>
    <t>Póliza</t>
  </si>
  <si>
    <t>Folio de Transferencia</t>
  </si>
  <si>
    <t>Proveedor</t>
  </si>
  <si>
    <t>Concepto</t>
  </si>
  <si>
    <t>Importe</t>
  </si>
  <si>
    <t>C00014</t>
  </si>
  <si>
    <t>CFE Suministrador de Servicios Básicos</t>
  </si>
  <si>
    <t>C00040</t>
  </si>
  <si>
    <t>Suma</t>
  </si>
  <si>
    <t>Fecha de Transferencia</t>
  </si>
  <si>
    <t>88465031031907000000</t>
  </si>
  <si>
    <t>88465058039539000000</t>
  </si>
  <si>
    <t>Energía
eléctrica</t>
  </si>
  <si>
    <t>Póliza C00094</t>
  </si>
  <si>
    <t>Póliza P00158</t>
  </si>
  <si>
    <t>Póliza C00093</t>
  </si>
  <si>
    <t>Pago provision dispersion de combustible marzo 2025. GP</t>
  </si>
  <si>
    <t>C00094</t>
  </si>
  <si>
    <t>Pago provision dispersion de combustible enero febrero 2025. GP INTELY VALE, Folio Pago: 62</t>
  </si>
  <si>
    <t>Provision dispersion de combustible enero febrero 2025. GD Compra : 34 Factura 379F9498041D, 211 INTELY VALE</t>
  </si>
  <si>
    <t>De la revisión efectuada a la documentación comprobatoria y justificativa de las erogaciones realizadas con cargo al presupuesto del Centro de Conciliación Laboral de Estado de Tlaxcala, misma que fue solicitada por este Ente Fiscalizador a través de oficio número DAEE/369/2025 de fecha 31 de julio de 2025, y remitida por el ente fiscalizable mediante similar CCLT/1147/2025 de fecha 19 de agosto de 2025, en relación a la partida 2611 "Combustibles, lubricantes y adictivos", efectuaron pagos por la adquisición de combustible, mediante transferencias electrónicas con cargo a la cuenta bancaria ******0895, aperturada en la institución financiera Banco Mercantil del Norte S.A., por la cantidad de $155,791.10, de lo cuales $155,000.00 corresponden al suministro de combustible y $791.10 a la comisión por ventas, no obstante, se constató que los comprobantes fiscales digitales por internet expedidos por el proveedor "Intely Vale S. de R.L. de C.V.", amparan únicamente un importe total de $791.10, que corresponde al cobro de la comisión por ventas, y no por la totalidad pagada al proveedor, omitiendo presentar comprobantes fiscales digitales por internet o complementos a los comprobantes ya emitidos, por un total de $155,000.00, en virtud de que, al verificar los comprobantes fiscales en el portal de verificación de comprobantes fiscales digitales por internet del Servicio de Administración Tributaria "SAT", no se visualiza que el importe, por el cual expidieron dichos comprobantes fiscales, refleje o ampare la totalidad de combustible pagado. Por lo anterior, el Centro de Conciliación Laboral es responsable de comprobar el correcto ejercicio y manejo de los recursos públicos, apegándose a los criterios de legalidad, honestidad, eficiencia, eficacia, economía, racionalidad, austeridad, transparencia, control, evaluación y rendición de cuentas. Se detalla los pagos efectuados no comprobados:</t>
  </si>
  <si>
    <t>Folio de Comprobante Fiscal</t>
  </si>
  <si>
    <t>Fecha de Comprobante Fiscal</t>
  </si>
  <si>
    <t>Importe de combustible</t>
  </si>
  <si>
    <t>Validación del Comprobante Fiscal</t>
  </si>
  <si>
    <t>Importe no comprobado</t>
  </si>
  <si>
    <t>8846APR2202504223991645832</t>
  </si>
  <si>
    <t>14281182-1aef-4281-9dc1-379f9498041d</t>
  </si>
  <si>
    <t>C00093</t>
  </si>
  <si>
    <t>C00098</t>
  </si>
  <si>
    <t>C00128</t>
  </si>
  <si>
    <t>603b8a8b-df36- 41ef-989e-70afa15718e7</t>
  </si>
  <si>
    <t>2db69c5d-8d8d- 4c1e-9381-87ede56b68ac</t>
  </si>
  <si>
    <t>ffe315be-958d- 4cf2-ba26-cce0ff6a2819</t>
  </si>
  <si>
    <t>8846APR2202504223991645825</t>
  </si>
  <si>
    <t>8846APR1202504243997257928</t>
  </si>
  <si>
    <t>8846APR1202505214082056912</t>
  </si>
  <si>
    <t>Total</t>
  </si>
  <si>
    <t>OMISIÓN DE
COMPROBANTE
FISCAL DIGITAL
POR INTERNET</t>
  </si>
  <si>
    <t>Póliza P00271</t>
  </si>
  <si>
    <t>Póliza C00098</t>
  </si>
  <si>
    <t>Póliza P00326</t>
  </si>
  <si>
    <t>Póliza C00128</t>
  </si>
  <si>
    <t>Póliza P00423</t>
  </si>
  <si>
    <t>Dispersion de combustible mayo 2025. GD Compra</t>
  </si>
  <si>
    <t>: 83 Factura CCE0FF6A2819, 211 INTELY VALE</t>
  </si>
  <si>
    <t xml:space="preserve">INTELY VALE, Folio Pago: 61 Provision dispersion de combustible marzo 2025. GD Compra : 55 Factura 70AFA15718E7, 211 INTELY VALE </t>
  </si>
  <si>
    <t>Dispersion de combustible abril 2025. GP INTELY VALE, Folio Pago: 66</t>
  </si>
  <si>
    <t>Dispersion de combustible abril 2025. GD Compra : 67 Factura 87EDE56B68AC, 211 INTELY VALE</t>
  </si>
  <si>
    <t>Dispersion de combustible mayo 2025. GP INTELY VALE, Folio Pago: 82</t>
  </si>
  <si>
    <t>Artículos 42 y 43 de la Ley General de Contabilidad Gubernamental, 29 y 29-A del Código Fiscal de la Federación, reglas 2.7.1.8 y 3.3.1.10 de la Resolución Miscelánea Fiscal para 2025, 302 del Código Financiero para el Estado de Tlaxcala y sus Municipios, 1 párrafos segundo, sexto y séptimo, 107 fracción III, 152 y 153 del Presupuesto de Egresos del Estado de Tlaxcala para el Ejercicio Fiscal 2025 y 12 fracción IV del Acuerdo que Establece los Lineamientos y Políticas Generales del Ejercicio del Presupuesto, las Medidas de Mejora y Modernización, así como de Austeridad del Gasto Público de la Gestión Administrativa.</t>
  </si>
  <si>
    <t>Póliza C00082</t>
  </si>
  <si>
    <t>Póliza P00243</t>
  </si>
  <si>
    <t>FALTA DE DOCUMENTACIÓN JUSTIFICATIVA</t>
  </si>
  <si>
    <t>Póliza C00132</t>
  </si>
  <si>
    <t>Póliza P00435</t>
  </si>
  <si>
    <t>Folio de transferencia</t>
  </si>
  <si>
    <t>Cantidad</t>
  </si>
  <si>
    <t>Descripción</t>
  </si>
  <si>
    <t>Proveedor: Antonio Bautista Morales</t>
  </si>
  <si>
    <t>C00082</t>
  </si>
  <si>
    <t>154f7b2b-b596- 48b2-ad78- 0cf4e0ccaaa4 20/03/2025</t>
  </si>
  <si>
    <t>Aromatizante de ambiente en aerosol 400ml aroma "alegría</t>
  </si>
  <si>
    <t>Aromatizante tipo decosphere</t>
  </si>
  <si>
    <t>aroma papaya &amp; mango s/mca.</t>
  </si>
  <si>
    <t>Bidón de blanqueador líquido</t>
  </si>
  <si>
    <t>desinfectante de 10 litros s/mca.</t>
  </si>
  <si>
    <t>Subtotal</t>
  </si>
  <si>
    <t>Proveedor: Elena Saldaña Nava</t>
  </si>
  <si>
    <t>C00132</t>
  </si>
  <si>
    <t>d682b2fc-9f41- 4e1a-b457- eb61af593332 07/05/2025</t>
  </si>
  <si>
    <t>floral y frutos rojos" mca. s/m.</t>
  </si>
  <si>
    <t>Provisión Material de limpieza GP Antonio Bautista Morales, Folio de Pago: 53 Provision Material de limpieza GD</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</si>
  <si>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realizaron la adquisición de </t>
    </r>
    <r>
      <rPr>
        <b/>
        <sz val="7.5"/>
        <color rgb="FF333333"/>
        <rFont val="Arial"/>
        <family val="2"/>
      </rPr>
      <t>material de limpieza</t>
    </r>
    <r>
      <rPr>
        <sz val="7.5"/>
        <color rgb="FF333333"/>
        <rFont val="Arial"/>
        <family val="2"/>
      </rPr>
      <t xml:space="preserve">, por un importe acumulado de </t>
    </r>
    <r>
      <rPr>
        <b/>
        <sz val="7.5"/>
        <color rgb="FF333333"/>
        <rFont val="Arial"/>
        <family val="2"/>
      </rPr>
      <t>$37,195.01</t>
    </r>
    <r>
      <rPr>
        <sz val="7.5"/>
        <color rgb="FF333333"/>
        <rFont val="Arial"/>
        <family val="2"/>
      </rPr>
      <t xml:space="preserve">, monto que fue cubierto a través de transferencias electrónicas de la cuenta bancaria ******0895, aperturada en la Institución Financiera Banco Mercantil del Norte S.A. y amparado mediante los comprobantes fiscales digitales por internet a nombre de los proveedores </t>
    </r>
    <r>
      <rPr>
        <b/>
        <sz val="7.5"/>
        <color rgb="FF333333"/>
        <rFont val="Arial"/>
        <family val="2"/>
      </rPr>
      <t>Antonio Bautista Morales y Elena Saldaña Nava</t>
    </r>
    <r>
      <rPr>
        <sz val="7.5"/>
        <color rgb="FF333333"/>
        <rFont val="Arial"/>
        <family val="2"/>
      </rPr>
      <t>, información que se precisa en el cuadro adjunto</t>
    </r>
    <r>
      <rPr>
        <b/>
        <sz val="7.5"/>
        <color rgb="FF333333"/>
        <rFont val="Arial"/>
        <family val="2"/>
      </rPr>
      <t xml:space="preserve">; </t>
    </r>
    <r>
      <rPr>
        <sz val="7.5"/>
        <color rgb="FF333333"/>
        <rFont val="Arial"/>
        <family val="2"/>
      </rPr>
      <t xml:space="preserve">de lo anterior, se detectó la </t>
    </r>
    <r>
      <rPr>
        <b/>
        <sz val="7.5"/>
        <color rgb="FF333333"/>
        <rFont val="Arial"/>
        <family val="2"/>
      </rPr>
      <t>falta de documentación justificativa en la comprobación del gasto</t>
    </r>
    <r>
      <rPr>
        <sz val="7.5"/>
        <color rgb="FF333333"/>
        <rFont val="Arial"/>
        <family val="2"/>
      </rPr>
      <t>, al omitir integrar vales de entrega para las diferentes áreas, y controles de entradas y salidas del almacén los cuales permitan mantener un adecuado control y existencias de los materiales adquiridos. Por lo tanto el Centro de Conciliación Laboral, carece de controles internos en cuanto a la justificación y aplicación de los recursos.</t>
    </r>
  </si>
  <si>
    <r>
      <t>Compra:</t>
    </r>
    <r>
      <rPr>
        <sz val="7.5"/>
        <color rgb="FF333333"/>
        <rFont val="Times New Roman"/>
        <family val="1"/>
      </rPr>
      <t xml:space="preserve"> </t>
    </r>
    <r>
      <rPr>
        <sz val="7.5"/>
        <color rgb="FF333333"/>
        <rFont val="Arial"/>
        <family val="2"/>
      </rPr>
      <t>51 Factura: OCF4E0CCAAA4, 214 Antonio Bautista Morales</t>
    </r>
  </si>
  <si>
    <t>Fecha de transferencia</t>
  </si>
  <si>
    <t>Folio Fiscal del CFDI / Fecha</t>
  </si>
  <si>
    <t>Material delimpieza GP Elena Saldaña Nava, folio de pago: 84</t>
  </si>
  <si>
    <t>Material de limpieza GD Compra: 85 Factura: EB61AF593332, 107 Elena Saldaña Nava</t>
  </si>
  <si>
    <t>8846APR120250443941779775</t>
  </si>
  <si>
    <t>Aromatizante de ambiente en aerosol 400ml aroma "alegría floral y frutos rojos" s/mca.</t>
  </si>
  <si>
    <t>Cubrebocas tricapa termosellado premium color negro 50 pzas cada caja s/mca.</t>
  </si>
  <si>
    <t>Cubrebocas tricapa termosellado   premium   color azul 50 pzas cada caja s/mca.</t>
  </si>
  <si>
    <t>Aromatizante de ambiente en aerosol 226ml aroma "acqua marina" s/mca.</t>
  </si>
  <si>
    <t>Cubrebocas kn95 con cinco capas de protección 50 pzas cada caja /mca.</t>
  </si>
  <si>
    <t>Repuesto de aromatizante de ambiente automático en aerosol de 270 ml aromas varios s/mca.</t>
  </si>
  <si>
    <t>Trapo paño de microfibra absorbente multiusos de 30cm x 30 cm. s/mca.</t>
  </si>
  <si>
    <t>Trapo de paño de microfibra absorbente multiusos de 60cm x 40cm. s/mca.</t>
  </si>
  <si>
    <t>Jalador para piso goma de hule de 40 cm incluya baston s/mca.</t>
  </si>
  <si>
    <t>Jícara   de   plástico   tamaño chico con capacidad  s/mca.de 220ml</t>
  </si>
  <si>
    <t>Estropajo tipo cuadritela para lavar trastes y tapicería s/mca.</t>
  </si>
  <si>
    <t>Mechudo de pabilo tipo italiano 350grs. que incluya bastón s/mca.</t>
  </si>
  <si>
    <t>Atomizador con capacidad de 1 litro uso rudo s/mca.</t>
  </si>
  <si>
    <t>8846APR1202505294103840777</t>
  </si>
  <si>
    <t>Aromatizante tipo decosphere aroma papaya &amp; mango mca. s/m.</t>
  </si>
  <si>
    <t>Bidón de blanqueador líquido desinfectante de 10 litros mca s/m..</t>
  </si>
  <si>
    <t>Galón de limpiador fabuloso líquido multiusos frescura activa lavanda cada uno de 5l. mca. s/m.</t>
  </si>
  <si>
    <t>Jerga  color  azul/rojo  con dobladillo de 140 x 47 m mca. s/m.</t>
  </si>
  <si>
    <t>Juego de 4 toallas de mano de algodón  de  alta  calidad, tamaño 33*74 cm color gris mca. s/m.</t>
  </si>
  <si>
    <t>Porta cepillos de dientes con dispensador de pasta dental color blanco con gris, incluye 5 ranuras para cepillos de dientes,       4       tazas,       2 dispensadores de pasta de dientes y una ranura para sujetar el peine, la afeitadora, etc. mca. s/m.</t>
  </si>
  <si>
    <t>Juego de 4 herramientas para jardín mango de 6 pulgadas incluye un par de guantes para jardinero cubierta de látex puño tejido talla mediana mca. s/m.</t>
  </si>
  <si>
    <t>Caja de bolsas transparentes para bote de basura de 37.8 l. caja con 500 pzas mca. s/m.</t>
  </si>
  <si>
    <t>Insecticida de 400 ml mca. s/m.</t>
  </si>
  <si>
    <t>Botellas de plastico dispensadoras de jabón líquido de 500 ml mca. s/m.</t>
  </si>
  <si>
    <t>Aromatizante mini en spray incluye aparato y repuesto de 9g mca. s/m.</t>
  </si>
  <si>
    <t>Plumero extensible con poste extra largo se alarga hasta 280 cm de microfibra mca. s/m.</t>
  </si>
  <si>
    <t>Protector en spray para el cuidado del auto ayuda a renovar y revitalizar vinil, caucho y plástico en spray de 473 ml mca. s/m.</t>
  </si>
  <si>
    <t>Aromatizante de ambiente automático que incluya (1 aparato difusor automático, 1 repuesto de 270 ml, y dos baterías aa) s/mca.</t>
  </si>
  <si>
    <t>Artículos 42 primer párrafo y 43 de la Ley General de Contabilidad Gubernamental, 302 y 309 párrafo segundo del Código Financiero para el Estado de Tlaxcala y sus Municipios, 1 párrafos segundo, sexto y séptimo, 4 párrafo primero y 152 párrafos primero y segundo del Presupuesto de Egresos del Estado de Tlaxcala para el Ejercicio Fiscal 2025, así como 8 y 12 fracción IV del Acuerdo que establece los Lineamientos y Políticas Generales del Ejercicio del Presupuesto, las Medidas de Mejora y Modernización, así como de Austeridad del Gasto Público de la Gestión Administrativa.</t>
  </si>
  <si>
    <t>Póliza C00092</t>
  </si>
  <si>
    <t>Póliza P00310</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</si>
  <si>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erogaron por concepto de </t>
    </r>
    <r>
      <rPr>
        <b/>
        <sz val="7.5"/>
        <color rgb="FF333333"/>
        <rFont val="Arial"/>
        <family val="2"/>
      </rPr>
      <t>artículos de papelería</t>
    </r>
    <r>
      <rPr>
        <sz val="7.5"/>
        <color rgb="FF333333"/>
        <rFont val="Arial"/>
        <family val="2"/>
      </rPr>
      <t xml:space="preserve">, la cantidad de </t>
    </r>
    <r>
      <rPr>
        <b/>
        <sz val="7.5"/>
        <color rgb="FF333333"/>
        <rFont val="Arial"/>
        <family val="2"/>
      </rPr>
      <t>$29,348.00</t>
    </r>
    <r>
      <rPr>
        <sz val="7.5"/>
        <color rgb="FF333333"/>
        <rFont val="Arial"/>
        <family val="2"/>
      </rPr>
      <t xml:space="preserve">, pagados a través de transferencia electrónica con clave de rastreo 8846APR1202504223991602245 de fecha 22 de abril de 2025 con cargo a la cuenta bancaria ******0895, aperturada en la Institución Financiera Banco Mercantil del Norte S.A.; gasto amparado mediante comprobante fiscal digital por internet con folio 731ECAE7-7082-4AF8-B568-6735DF0192FB de fecha 09 de abril de 2025, expedido por el proveedor </t>
    </r>
    <r>
      <rPr>
        <b/>
        <sz val="7.5"/>
        <color rgb="FF333333"/>
        <rFont val="Arial"/>
        <family val="2"/>
      </rPr>
      <t xml:space="preserve">Erika Márquez Corona, </t>
    </r>
    <r>
      <rPr>
        <sz val="7.5"/>
        <color rgb="FF333333"/>
        <rFont val="Arial"/>
        <family val="2"/>
      </rPr>
      <t xml:space="preserve">se detectó la </t>
    </r>
    <r>
      <rPr>
        <b/>
        <sz val="7.5"/>
        <color rgb="FF333333"/>
        <rFont val="Arial"/>
        <family val="2"/>
      </rPr>
      <t>falta de documentación justificativa</t>
    </r>
    <r>
      <rPr>
        <sz val="7.5"/>
        <color rgb="FF333333"/>
        <rFont val="Arial"/>
        <family val="2"/>
      </rPr>
      <t>, al omitir vales o listas de entrega por el personal que recibió los artículos, así como controles de entrada y salida de almacén que permitan mantener un adecuado control y existencias de los materiales, se detalla los artículos adquiridos:</t>
    </r>
  </si>
  <si>
    <t>Pieza</t>
  </si>
  <si>
    <t>Etiqueta multiuso de medidas 57mm x 32mm</t>
  </si>
  <si>
    <t>Paquete</t>
  </si>
  <si>
    <t>Rollo de etiquetas para carpeta de anill</t>
  </si>
  <si>
    <t>Carpeta de 1" tamaño carta color morada</t>
  </si>
  <si>
    <t>Carpeta de 1 1/2" tamaño carta color bla</t>
  </si>
  <si>
    <t>Carpeta de 2" tamaño carta color blanca</t>
  </si>
  <si>
    <t>Regla metálica de 30cm sm</t>
  </si>
  <si>
    <t>Caja de lapicero cristal color rojo ultr</t>
  </si>
  <si>
    <t>Caja de goma de migajón cada caja contie</t>
  </si>
  <si>
    <t>Calendario magnético con planificador me</t>
  </si>
  <si>
    <t>Caja de hojas bond tamaño carta cada caj</t>
  </si>
  <si>
    <t>Cubierta de carpeta a5 con 6 anillos par</t>
  </si>
  <si>
    <t>Cargador para pilas tipo 9v que ya inclu</t>
  </si>
  <si>
    <t>Torre de discos compactos grabables 700m</t>
  </si>
  <si>
    <t>Juego de separadores insertables tamaño</t>
  </si>
  <si>
    <t>Unidad</t>
  </si>
  <si>
    <t>Valor Unitario</t>
  </si>
  <si>
    <t>Dispensador de notas post it con ventosa</t>
  </si>
  <si>
    <t>Gancho para tejer expedientes numero 3.0</t>
  </si>
  <si>
    <t>Marcadores punta fina de 10 colores sm</t>
  </si>
  <si>
    <t>Paquete de corrector liquido tipo brocha</t>
  </si>
  <si>
    <t>Etiqueta de dirección estándar de medida</t>
  </si>
  <si>
    <t>Etiqueta de medidas 104mm x 159mm para i</t>
  </si>
  <si>
    <t xml:space="preserve">Material de papelería  GP Erika Márquez Corona, Folio Pago 60 </t>
  </si>
  <si>
    <t>Material de papelería  GD Compra :  63 Factura: 6735DF0192FB, 140 Erika Márquez Corona</t>
  </si>
  <si>
    <t>Póliza C00013</t>
  </si>
  <si>
    <t>Póliza P00042</t>
  </si>
  <si>
    <t>Póliza C00026</t>
  </si>
  <si>
    <t>Póliza P00087</t>
  </si>
  <si>
    <t>Cafetería CCLET. GP Claudia Morales Cuatecontzi, Folio Pago: 21</t>
  </si>
  <si>
    <t>De lo anterior, el Centro de Conciliación Laboral, carece de controles internos en cuanto a la justificación y aplicación de los recursos, se detalla los insumos adquiridos:</t>
  </si>
  <si>
    <t>Clave de rastreo</t>
  </si>
  <si>
    <t>C00013</t>
  </si>
  <si>
    <t>Paquete de 24 aguas nestle de 330 ml.</t>
  </si>
  <si>
    <t>C00026</t>
  </si>
  <si>
    <t>Café tostado y molido de 900 gr los portales.</t>
  </si>
  <si>
    <t>Azúcar morena bolsa con 1 kg.</t>
  </si>
  <si>
    <t>Póliza C00049</t>
  </si>
  <si>
    <t>caja con 80 sobres.</t>
  </si>
  <si>
    <t>C00049</t>
  </si>
  <si>
    <t>Póliza P00152</t>
  </si>
  <si>
    <t>Paquete de 24 botellas de agua bonafond de 330 ml.</t>
  </si>
  <si>
    <t>Póliza C00065</t>
  </si>
  <si>
    <t>C00065</t>
  </si>
  <si>
    <t>C00088</t>
  </si>
  <si>
    <t>C00107</t>
  </si>
  <si>
    <t>Póliza P00206</t>
  </si>
  <si>
    <t>C00127</t>
  </si>
  <si>
    <t>C00153</t>
  </si>
  <si>
    <t>Café gourmet americano blasón de 900 gr.</t>
  </si>
  <si>
    <t>Póliza C00088</t>
  </si>
  <si>
    <t>Póliza P00298</t>
  </si>
  <si>
    <t>Póliza C00107</t>
  </si>
  <si>
    <t>Póliza P00355</t>
  </si>
  <si>
    <t>Póliza C00127</t>
  </si>
  <si>
    <t>Póliza P00420</t>
  </si>
  <si>
    <t>Póliza C00153</t>
  </si>
  <si>
    <t>Póliza P00506</t>
  </si>
  <si>
    <t>Artículos 42 y 43 de la Ley General de Contabilidad Gubernamental, 302 y 309 del Código Financiero para el Estado de Tlaxcala y sus Municipios, 1 párrafos segundo, sexto y séptimo, 4 párrafo primero y 152 párrafos primero y segundo del Presupuesto de Egresos del Estado de Tlaxcala para el Ejercicio Fiscal 2025, así como 8 y 12 fracción IV del Acuerdo que establece los Lineamientos y Políticas Generales del Ejercicio del Presupuesto, las Medidas de Mejora y Modernización, así como de Austeridad del Gasto Público de la Gestión Administrativa.</t>
  </si>
  <si>
    <t xml:space="preserve">Paquete de agua individual. GP Claudia Morales Cuatecontzi, Folio Pago: 9 </t>
  </si>
  <si>
    <t>Paquete de agua individual. GD Compra: 9 Factura: 81F00ECD8374, 136 Claudia Morales Cuatecontzi</t>
  </si>
  <si>
    <t>136 Claudia Morales Cuatecontzi Suministro de cafetería CCLET. GP Claudia Morales Cuatecontzi, Folio Pago: 33</t>
  </si>
  <si>
    <t>Suministro de cafetería CCLET. GD Compra: 33 Factura: 509c390a591b, 136 Claudia Morales Cuatecontzi</t>
  </si>
  <si>
    <t>Botellas de agua individual (paquetes). GP Claudia   Morales Cuatecontzi, Folio Pago: 44</t>
  </si>
  <si>
    <r>
      <t>Botellas de agua individual (paquetes). GD Compra:</t>
    </r>
    <r>
      <rPr>
        <sz val="7.5"/>
        <color rgb="FF333333"/>
        <rFont val="Times New Roman"/>
        <family val="1"/>
      </rPr>
      <t xml:space="preserve">  </t>
    </r>
    <r>
      <rPr>
        <sz val="7.5"/>
        <color rgb="FF333333"/>
        <rFont val="Arial"/>
        <family val="2"/>
      </rPr>
      <t>45 Factura: A1FA6678C45B, 136 Claudia Morales Cuatecontzi</t>
    </r>
  </si>
  <si>
    <t>Cafetería CCLET. GP ClaudiaMorales Cuatecontzi Folio Pago: 58</t>
  </si>
  <si>
    <t>Cafetería CCLET. GD Compra: 61 Factura: 2276E0D0552B, 136 Claudia Morales Cuatecontzi</t>
  </si>
  <si>
    <t>Agua individual visitas. GP Claudia   Morales Cuatecontzi, Folio Pago: 70</t>
  </si>
  <si>
    <t>Agua individual visitas. GD Compra: 71 Factura: CBA61459FAB8, 136 Claudia Morales Cuatecontzi</t>
  </si>
  <si>
    <t>Agua botellas. GP Claudia   Morales Cuatecontzi, Folio Pago: 81</t>
  </si>
  <si>
    <t>Agua botellas. GD Compra: 82Morales Cuatecontzi</t>
  </si>
  <si>
    <t>Alimentos CCLET CAFE. GP Claudia   Morales Cuatecontzi, Folio Pago: 95</t>
  </si>
  <si>
    <t>Alimentos CCLET CAFE. GD Compra: 97 Factura: 4E10B33DF9CD, 136 Claudia Morales Cuatecontzi</t>
  </si>
  <si>
    <t>8846APR220251313754805732</t>
  </si>
  <si>
    <t>8846APR1202502113786790501</t>
  </si>
  <si>
    <t>Bolsa    galleta    polvoron variedad de sabores 1.2 kg.</t>
  </si>
  <si>
    <t xml:space="preserve">Surtido de galletas con chocolate de 1.4 kg. </t>
  </si>
  <si>
    <t>8846APR2202502283837819675</t>
  </si>
  <si>
    <t>Caja de sobres de té variedad marca members mark.</t>
  </si>
  <si>
    <t>Paquetes de 24 aguas nestle de 330 ml.</t>
  </si>
  <si>
    <t>8846APR1202503183889548793</t>
  </si>
  <si>
    <t>8846APR2202504143970758210</t>
  </si>
  <si>
    <t>Café tostado y molido los portales de 900 gr.</t>
  </si>
  <si>
    <t>8846APR2202504294011772210</t>
  </si>
  <si>
    <t>8846APR1202505194075691141</t>
  </si>
  <si>
    <t>8846APR1202506164163559135</t>
  </si>
  <si>
    <t>F1A3C4BB-D26B- 4174-9065-81F00ECD8374                                                            30/01/2025</t>
  </si>
  <si>
    <t>76382677-EE3E-483D-9C1358BF26EA1435                                                      11/02/2025</t>
  </si>
  <si>
    <t>A2B5BFDA-A67B- 4D19-A7B9-509C390A591B                             27/02/2025</t>
  </si>
  <si>
    <t>40B6F4D1-2A5B-42BD-A54E- A1FA6678C45B                                   18/03/2025</t>
  </si>
  <si>
    <t>1A4DA419-F0F8-4A60-8C21-2276E0D0552B                                        11/04/2025</t>
  </si>
  <si>
    <t>C362F52F-FB11- 49B1-9847-CBA61459FAB8                                    28/04/2025</t>
  </si>
  <si>
    <t>BFF2D281-3F7E-4FDF-8398-1A24C7E531A8                          16/05/2025</t>
  </si>
  <si>
    <t>1403B61A-2E58-45E1-B42D-4E10B33DF9CD                         13/06/2025</t>
  </si>
  <si>
    <t>Folio Fiscal del CFDI                   Fecha</t>
  </si>
  <si>
    <r>
      <t>Cafetería CCLET. GD Compra:</t>
    </r>
    <r>
      <rPr>
        <sz val="7.5"/>
        <color rgb="FF333333"/>
        <rFont val="Times New Roman"/>
        <family val="1"/>
      </rPr>
      <t xml:space="preserve"> </t>
    </r>
    <r>
      <rPr>
        <sz val="7.5"/>
        <color rgb="FF333333"/>
        <rFont val="Arial"/>
        <family val="2"/>
      </rPr>
      <t>21 Factura: 58bf26ea1435,</t>
    </r>
  </si>
  <si>
    <t>Póliza C00079</t>
  </si>
  <si>
    <t>Póliza P00241</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</si>
  <si>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erogaron </t>
    </r>
    <r>
      <rPr>
        <b/>
        <sz val="7.5"/>
        <color rgb="FF333333"/>
        <rFont val="Arial"/>
        <family val="2"/>
      </rPr>
      <t>$35,960.00</t>
    </r>
    <r>
      <rPr>
        <sz val="7.5"/>
        <color rgb="FF333333"/>
        <rFont val="Arial"/>
        <family val="2"/>
      </rPr>
      <t xml:space="preserve">, por concepto de </t>
    </r>
    <r>
      <rPr>
        <b/>
        <sz val="7.5"/>
        <color rgb="FF333333"/>
        <rFont val="Arial"/>
        <family val="2"/>
      </rPr>
      <t>elaboración y diseño de planos arquitectónicos</t>
    </r>
    <r>
      <rPr>
        <sz val="7.5"/>
        <color rgb="FF333333"/>
        <rFont val="Arial"/>
        <family val="2"/>
      </rPr>
      <t>, pago efectuado mediante transferencia electrónica con clave de rastreo 8846APR2202504043941444213 de fecha 04 de abril de 2025, con cargo a los fondos de la cuenta bancaria *****0895, aperturada en la Institución Financiera Banco Mercantil del Norte S.A., gasto que se ampara mediante el comprobante fiscal digital por internet con folio 244812FB-CEE7-4A92-B055-C48D896DC2DB de fecha 24 de marzo de 2025, expedido por el proveedor Jorge García Vázquez; no obstante, se detectó que, el servicio fue brindado por personas distintas a la contratada siendo los Arqs. Andrés Lira Luna, Neftalí Abraham Lemus Manrique y Damián Esteban López, quienes elaboraron los planos arquitectónicos anexos en la póliza C00079, omitiendo presentar documentación que acredite su relación contractual o profesional con el proveedor Jorge García Vázquez, así mismo no se integró documentación que acredite el perfil del proveedor, tales como currículum, cédula profesional, constancias de experiencia o cualquier otro documento que  respalde que cuenta con los conocimientos, experiencia y capacidad técnica necesarios para la ejecución del servicio contratado.</t>
    </r>
  </si>
  <si>
    <t>Pago de servicios de consultoría y diseño arquitectónico. GP Jorge Garcia Vazquez, Folio</t>
  </si>
  <si>
    <t>Pago Provisión servicios de consultoría y diseño arquitectónico. GD Compra : 50 Factura: C48D896DC2DB, 168 Jorge Garcia Vazquez</t>
  </si>
  <si>
    <t>Artículos 42 y 43 de la Ley General de Contabilidad Gubernamental, 43 fracción V de la Ley de Adquisiciones, Arrendamientos y Servicios del Estado de Tlaxcala, 302 del Código Financiero para el Estado de Tlaxcala y sus Municipios, 1 párrafos segundo, sexto y séptimo, 4 párrafo primero y 152 párrafos primero y segundo del Presupuesto de Egresos del Estado de Tlaxcala para el Ejercicio Fiscal 2025, así como 8 y 12 fracción IV del Acuerdo que establece los Lineamientos y Políticas Generales del Ejercicio del Presupuesto, las Medidas de Mejora y Modernización, así como de Austeridad del Gasto Público de la Gestión Administrativa.</t>
  </si>
  <si>
    <t>Póliza C00103</t>
  </si>
  <si>
    <t>Póliza P00340</t>
  </si>
  <si>
    <t>Póliza C00133</t>
  </si>
  <si>
    <t>Póliza P00439</t>
  </si>
  <si>
    <t>Elaboración      de</t>
  </si>
  <si>
    <t>memoria       sede</t>
  </si>
  <si>
    <t>Apizaco. GD Compra 86 : Factura 4982F940D31D,
216 Kevin Pedro Benavides Lopez</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</si>
  <si>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erogaron por la </t>
    </r>
    <r>
      <rPr>
        <b/>
        <sz val="7.5"/>
        <color rgb="FF333333"/>
        <rFont val="Arial"/>
        <family val="2"/>
      </rPr>
      <t>elaboración de dictamen de estabilidad y memorias de cálculo estructural</t>
    </r>
    <r>
      <rPr>
        <sz val="7.5"/>
        <color rgb="FF333333"/>
        <rFont val="Arial"/>
        <family val="2"/>
      </rPr>
      <t xml:space="preserve">, un importe de </t>
    </r>
    <r>
      <rPr>
        <b/>
        <sz val="7.5"/>
        <color rgb="FF333333"/>
        <rFont val="Arial"/>
        <family val="2"/>
      </rPr>
      <t>$31,320.00</t>
    </r>
    <r>
      <rPr>
        <sz val="7.5"/>
        <color rgb="FF333333"/>
        <rFont val="Arial"/>
        <family val="2"/>
      </rPr>
      <t>, pagado mediante transferencia electrónica de fondos de la cuenta bancaria *****0895, aperturada en la Institución Financiera Banco Mercantil del Norte S.A., gastos amparados mediante comprobantes fiscales digitales por internet, a favor del proveedor Kevin Pedro Benavides López; no obstante, se detectó que, el servicio fue brindado por una persona distinta a la contratada siendo el Ing. Damián Esteban López, quien elaboró el dictamén de estabilidad y memorias de cálculo estructural, omitiendo presentar documentación que acredite su relación contractual o profesional con el proveedor Kevin Pedro Benavides López, así mismo no se integró documentación que acredite el perfil del proveedor, tales como currículum, cédula profesional, constancias de experiencia o cualquier otro documento que respalde que cuenta con los conocimientos, experiencia y capacidad técnica necesarios para la ejecución del servicio contratado.</t>
    </r>
  </si>
  <si>
    <t>Dictamen         de estabilidad          y seguridad de sede Apizaco. GP Kevin Pedro Benavides Lopez, Folio Pago: 68</t>
  </si>
  <si>
    <t>Dictamen         de estabilidad          y seguridad de sede Apizaco. GD Compra : Factura EC4365CF83570, 216 Kevin Pedro Benavides Lopez</t>
  </si>
  <si>
    <t>Elaboración de memoria sede Apizaco. GP Kevin Pedro Benavides Lopez, Folio Pago: 85</t>
  </si>
  <si>
    <t>Póliza P00546</t>
  </si>
  <si>
    <t>Provision arrendamiento dos equipos konica minolta</t>
  </si>
  <si>
    <r>
      <t xml:space="preserve">De la revisión a la documentación justificativa y comprobatoria de las erogaciones realizadas con cargo al presupuesto del </t>
    </r>
    <r>
      <rPr>
        <b/>
        <sz val="7.5"/>
        <color rgb="FF333333"/>
        <rFont val="Arial"/>
        <family val="2"/>
      </rPr>
      <t>Centro de Conciliación Laboral del Estado de Tlaxcala</t>
    </r>
    <r>
      <rPr>
        <sz val="7.5"/>
        <color rgb="FF333333"/>
        <rFont val="Arial"/>
        <family val="2"/>
      </rPr>
      <t xml:space="preserve">, información que fue solicitada a través del oficio </t>
    </r>
    <r>
      <rPr>
        <b/>
        <sz val="7.5"/>
        <color rgb="FF333333"/>
        <rFont val="Arial"/>
        <family val="2"/>
      </rPr>
      <t xml:space="preserve">DAEE/369/2025 </t>
    </r>
    <r>
      <rPr>
        <sz val="7.5"/>
        <color rgb="FF333333"/>
        <rFont val="Arial"/>
        <family val="2"/>
      </rPr>
      <t xml:space="preserve">de fecha 31 de julio de 2025 y remitida con similar </t>
    </r>
    <r>
      <rPr>
        <b/>
        <sz val="7.5"/>
        <color rgb="FF333333"/>
        <rFont val="Arial"/>
        <family val="2"/>
      </rPr>
      <t xml:space="preserve">CCLT/1147/2025 </t>
    </r>
    <r>
      <rPr>
        <sz val="7.5"/>
        <color rgb="FF333333"/>
        <rFont val="Arial"/>
        <family val="2"/>
      </rPr>
      <t xml:space="preserve">de fecha 19 de agosto de 2025, realizaron el pago de </t>
    </r>
    <r>
      <rPr>
        <b/>
        <sz val="7.5"/>
        <color rgb="FF333333"/>
        <rFont val="Arial"/>
        <family val="2"/>
      </rPr>
      <t>arrendamiento de dos equipos multifuncionales konica minolta</t>
    </r>
    <r>
      <rPr>
        <sz val="7.5"/>
        <color rgb="FF333333"/>
        <rFont val="Arial"/>
        <family val="2"/>
      </rPr>
      <t xml:space="preserve">, por un monto de </t>
    </r>
    <r>
      <rPr>
        <b/>
        <sz val="7.5"/>
        <color rgb="FF333333"/>
        <rFont val="Arial"/>
        <family val="2"/>
      </rPr>
      <t>$18,792.00</t>
    </r>
    <r>
      <rPr>
        <sz val="7.5"/>
        <color rgb="FF333333"/>
        <rFont val="Arial"/>
        <family val="2"/>
      </rPr>
      <t xml:space="preserve">, a favor del proveedor </t>
    </r>
    <r>
      <rPr>
        <b/>
        <sz val="7.5"/>
        <color rgb="FF333333"/>
        <rFont val="Arial"/>
        <family val="2"/>
      </rPr>
      <t>"Yoshelin Soria López"</t>
    </r>
    <r>
      <rPr>
        <sz val="7.5"/>
        <color rgb="FF333333"/>
        <rFont val="Arial"/>
        <family val="2"/>
      </rPr>
      <t xml:space="preserve">, quien expide el comprobante fiscal digital por internet de folio de49189a- e988-4d37-a040-e34e6e551c04 de fecha 12 de junio de 2025; se detectó la </t>
    </r>
    <r>
      <rPr>
        <b/>
        <sz val="7.5"/>
        <color rgb="FF333333"/>
        <rFont val="Arial"/>
        <family val="2"/>
      </rPr>
      <t>falta de documentación justificativa</t>
    </r>
    <r>
      <rPr>
        <sz val="7.5"/>
        <color rgb="FF333333"/>
        <rFont val="Arial"/>
        <family val="2"/>
      </rPr>
      <t xml:space="preserve">, en virtud de que omiten presentar la póliza de pago, misma que fue solicitada con el oficio ya citado, lo anterior en virtud de que la póliza </t>
    </r>
    <r>
      <rPr>
        <b/>
        <sz val="7.5"/>
        <color rgb="FF333333"/>
        <rFont val="Arial"/>
        <family val="2"/>
      </rPr>
      <t xml:space="preserve">P00546 </t>
    </r>
    <r>
      <rPr>
        <sz val="7.5"/>
        <color rgb="FF333333"/>
        <rFont val="Arial"/>
        <family val="2"/>
      </rPr>
      <t>de fecha 12 de junio de 2025 solo contiene el registro del gasto devengado.</t>
    </r>
  </si>
  <si>
    <t>CENTRO DE CONCILIACIÓN LABORAL DEL ESTADO DE TLAXCALA</t>
  </si>
  <si>
    <t>CUENTA PÚBLICA 2025</t>
  </si>
  <si>
    <t>CÉDULA DE PROPUESTA DE SOLVENTACIÓN</t>
  </si>
  <si>
    <t>CÉDULA DE RESULTADOS DE AUDITORÍA DE CUMPLIMIENTO FINANCIERO 2025</t>
  </si>
  <si>
    <t>SOLICITUD DE ACLARACIÓN (SA)</t>
  </si>
  <si>
    <t>PERIÓDO REVISADO: DEL 01 DE ENERO AL 30 DE JUNIO DE 2025</t>
  </si>
  <si>
    <t>FUENTE DE FINANCIAMIENTO: PARTICIPACIONES ESTATALES 2025</t>
  </si>
  <si>
    <t>ADQUISICIONES, ARRENDAMIENTOS Y SERVICIOS</t>
  </si>
  <si>
    <r>
      <t>1.</t>
    </r>
    <r>
      <rPr>
        <sz val="7"/>
        <color rgb="FF333333"/>
        <rFont val="Times New Roman"/>
        <family val="1"/>
      </rPr>
      <t xml:space="preserve">  </t>
    </r>
    <r>
      <rPr>
        <sz val="7.5"/>
        <color rgb="FF333333"/>
        <rFont val="Arial"/>
        <family val="2"/>
      </rPr>
      <t>Impresión de formas continuas y otros impresos.</t>
    </r>
  </si>
  <si>
    <r>
      <t>2.</t>
    </r>
    <r>
      <rPr>
        <sz val="7"/>
        <color rgb="FF333333"/>
        <rFont val="Times New Roman"/>
        <family val="1"/>
      </rPr>
      <t xml:space="preserve">  </t>
    </r>
    <r>
      <rPr>
        <sz val="7.5"/>
        <color rgb="FF333333"/>
        <rFont val="Arial"/>
        <family val="2"/>
      </rPr>
      <t>Confección en serie de uniformes (escolares, industriales, etc.) y ropa de trabajo.</t>
    </r>
  </si>
  <si>
    <r>
      <t>3.</t>
    </r>
    <r>
      <rPr>
        <sz val="7"/>
        <color rgb="FF333333"/>
        <rFont val="Times New Roman"/>
        <family val="1"/>
      </rPr>
      <t xml:space="preserve">  </t>
    </r>
    <r>
      <rPr>
        <sz val="7.5"/>
        <color rgb="FF333333"/>
        <rFont val="Arial"/>
        <family val="2"/>
      </rPr>
      <t>Comercio al por menor en ferreterías y tlapalerías.</t>
    </r>
  </si>
  <si>
    <t>4. Comercio al por mayor de electrodomésticos menores y aparatos de línea blanca.</t>
  </si>
  <si>
    <t>5. Comercio al por mayor de productos farmacéuticos.</t>
  </si>
  <si>
    <t>6. Confección de ropa sobre medida.</t>
  </si>
  <si>
    <t>7. Comercio al por mayor de mobiliario, equipo e instrumental médico y de laboratorio.</t>
  </si>
  <si>
    <t>8. Comercio al por mayor de mobiliario y equipo de oficina.</t>
  </si>
  <si>
    <t>9. Promotores de espectáculos artísticos, deportivos y similares que no cuentan con instalaciones</t>
  </si>
  <si>
    <t>para presentarlos.</t>
  </si>
  <si>
    <t>10. Otros servicios profesionales, científicos y técnicos.</t>
  </si>
  <si>
    <t>11. Comercio al por menor de otros alimentos preparados para su consumo.</t>
  </si>
  <si>
    <t>12. Alquiler de mesas, sillas, vajillas y similares.</t>
  </si>
  <si>
    <t>13. Servicios relacionados con el aprovechamiento forestal.</t>
  </si>
  <si>
    <t>De la revisión a la documentación comprobatoria y justificativa de las erogaciones realizadas con cargo al presupuesto del Centro de Conciliación Laboral del Estado de Tlaxcala, misma que fue solicitada mediante requerimiento número DAEE/369/2025 de fecha 31 de julio de 2025, y remitida a este ente fiscalizador a través del similar CCLT/1147/2025 de fecha 19 de agosto de 2025, en relación a la partida 3321 "Servicios de diseño, arquitectura, ingeniería y actividades relacionadas", realizaron la contratación del servicio de consultoría y realización de planos arquitectónicos, por un monto de $35,960.00, pagado mediante transferencia electrónica con clave de rastreo 8846APR2202504043941444213 de fecha 04 de abril de 2025 con cargo a la cuenta bancaria *****0895, aperturada en la Institución Financiera Banco Mercantil del Norte S.A., gasto amparado a través del Comprobante Fiscal Digital por Internet con folio 244812FB-CEE7-4A92- B055-C48D896DC2DB de fecha 24 de marzo de 2025, expedido por el proveedor Jorge García Vázquez; se detectó, que el proveedor, no tiene registrada la actividad económica bajo la cual se regulen las transacciones que amparan los conceptos descritos en la expedición de los comprobantes fiscales digitales por internet, lo anterior de acuerdo a su constancia de situación fiscal expedida con fecha 18 de marzo de 2025, por el Servicio de Administración Tributaria "SAT", solo relaciona las actividades económicas:</t>
  </si>
  <si>
    <t>PROVEEDORES Y PRESTADORES DE SERVICIOS QUE NO CUENTAN CON LA ACTIVIDAD ECONÓMICA</t>
  </si>
  <si>
    <t>14. Manejo de desechos peligrosos y servicios de remediación a zonas dañadas por desechos peligrosos.</t>
  </si>
  <si>
    <t>Por lo anterior, se comprueba que el proveedor no tiene registrada una actividad económica relacionada a la contratación del servicio de consultoría y realización de planos arquitectónicos, sobre la cual se regulen las transacciones que amparan el concepto descrito en la expedición del Comprobante Fiscal Digital por Internet (CFDI).</t>
  </si>
  <si>
    <t>Artículo 134 párrafo primero de la Constitución Política de los Estados Unidos Mexicanos, 69-B del Código Fiscal de la Federación, 302 del Código Financiero para el Estado de Tlaxcala y sus Municipios, 1 párrafos segundo, sexto y séptimo, 4 primer párrafo, 109 fracción III y 152 párrafos primero y segundo del Presupuesto de Egresos del Estado de Tlaxcala para el Ejercicio Fiscal 2025.</t>
  </si>
  <si>
    <t xml:space="preserve">PROMOCIONES DEL EJERCICIO DE LA FACULTAD DE COMPROBACIÓN FISCAL (PEFCF) </t>
  </si>
  <si>
    <t>Póliza D00022</t>
  </si>
  <si>
    <t>Comprobación de gastos marzo 2025</t>
  </si>
  <si>
    <t>Póliza E00063</t>
  </si>
  <si>
    <t>Póliza D00053</t>
  </si>
  <si>
    <t>DEFICIENTE CONTROL DE REGISTROS CONTABLES Y PRESUPUESTALES</t>
  </si>
  <si>
    <t>Reintegro comprobación gastos mayo 2025</t>
  </si>
  <si>
    <t>Dispersión combustible mayo 2025. GP INTELY 82</t>
  </si>
  <si>
    <t>Dispersión combustible mayo 2025. GD Compra: 83 Factura: CCE0FF6A2819, 211 INTELY VALE</t>
  </si>
  <si>
    <t>Artículos 16, 33, 36, 37 fracción II y 41 de la Ley General de Contabilidad Gubernamental, 302 párrafo primero y 305 del Código Financiero para el Estado de Tlaxcala y Municipios, 1 párrafo sexto, 6 tercer párrafo del Presupuesto de Egresos del Estado de Tlaxcala para el ejercicio Fiscal 2025, 11 párrafo segundo, 12 fracciones I y II del Acuerdo que Establece los Lineamientos y Políticas Generales del Ejercicio del Presupuesto, las Medidas de Mejora y Modernización, así como de Austeridad del Gasto Público de la Gestión Administrativa, Acuerdo por el que se emite el Clasificador por Objeto del Gasto, emitido por el Consejo Nacional de Armonización Contable y "Registro e Integración Presupuestaria" del Acuerdo por el que se emiten los Postulados Básicos de Contabilidad Gubernamental.</t>
  </si>
  <si>
    <t>De la revisión a la documentación comprobatoria y justificativa de las erogaciones realizadas con cargo al presupuesto del Centro de Conciliación Laboral del Estado de Tlaxcala, misma que fue solicitada mediante requerimiento número DAEE/369/2025 de fecha 31 de julio de 2025, y remitida a este ente fiscalizador a través del similar CCLT/1147/2025 de fecha 19 de agosto de 2025, se detectó la afectación del gasto por un monto de $1,195.38, con cargo a las partidas 3721 "Pasajes terrestres " y 2611 "Combustible, Lubricantes y Adictivos", sin embargo, en la revisión de la documentación soporte de dichos gastos, se constató que corresponden a servicios de paquetería y comisión por cargos  administrativos por el servicio de tarjetas electrónicas, mismos que conforme a su naturaleza debieron ser registrados en las partidas 3181 "Servicios postales y telegráficos" y 3481 "Comisión por ventas", de conformidad a lo establecido en el Presupuesto de Egresos del Estado de Tlaxcala para el Ejercicio Fiscal 2025 y de acuerdo con el Clasificador por Objeto del Gasto, por lo que se determina que los registros fueron incorrectos.</t>
  </si>
  <si>
    <t xml:space="preserve">RECOMENDACIONES (R) </t>
  </si>
  <si>
    <t>Pago provisión servicios de consultoria y diseño arquitectónico</t>
  </si>
  <si>
    <t>Provisión servicios de consultoria y diseño arquitectónico</t>
  </si>
  <si>
    <t>439751fa-5a7d-4b98-a3ec-ec435cf83570</t>
  </si>
  <si>
    <t>0f3128c6-bf07-4327-a01a-4982f940d31d</t>
  </si>
  <si>
    <t>8846APR2202504243997437328</t>
  </si>
  <si>
    <t>8846APR1202505294104967435</t>
  </si>
  <si>
    <t>Fecha de
Comprobante Fiscal</t>
  </si>
  <si>
    <t>C00103</t>
  </si>
  <si>
    <t>C00133</t>
  </si>
  <si>
    <t>TOTAL</t>
  </si>
  <si>
    <t xml:space="preserve"> </t>
  </si>
  <si>
    <t>No. DE OFICIO: CCLET/1574/2025</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</si>
  <si>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copia certificada de las Constancias de Situación Fiscal de los servidores Públicos Dydia Muñoz Vázquez y Angelica Sánchez Cortés; por lo que se solicita atentanmente dar por solventada la observación de referencia.</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</si>
  <si>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CCLET/1573/2025 y copia certificada de la evidencia de trámite ante Comisión Federal de Electricidad.</t>
  </si>
  <si>
    <r>
      <t xml:space="preserve">De la revisión a la documentación comprobatoria y justificativa de las erogaciones realizadas con cargo al presupuesto del </t>
    </r>
    <r>
      <rPr>
        <b/>
        <sz val="7.5"/>
        <color rgb="FF333333"/>
        <rFont val="Arial"/>
        <family val="2"/>
      </rPr>
      <t>Centro de Conciliación Laboral del Estado de Tlaxcala</t>
    </r>
    <r>
      <rPr>
        <sz val="7.5"/>
        <color rgb="FF333333"/>
        <rFont val="Arial"/>
        <family val="2"/>
      </rPr>
      <t xml:space="preserve">, misma que fue solicitada mediante requerimiento número </t>
    </r>
    <r>
      <rPr>
        <b/>
        <sz val="7.5"/>
        <color rgb="FF333333"/>
        <rFont val="Arial"/>
        <family val="2"/>
      </rPr>
      <t xml:space="preserve">DAEE/369/2025 </t>
    </r>
    <r>
      <rPr>
        <sz val="7.5"/>
        <color rgb="FF333333"/>
        <rFont val="Arial"/>
        <family val="2"/>
      </rPr>
      <t xml:space="preserve">de fecha 31 de julio de 2025, y remitida a este ente fiscalizador a través del similar </t>
    </r>
    <r>
      <rPr>
        <b/>
        <sz val="7.5"/>
        <color rgb="FF333333"/>
        <rFont val="Arial"/>
        <family val="2"/>
      </rPr>
      <t xml:space="preserve">CCLT/1147/2025 </t>
    </r>
    <r>
      <rPr>
        <sz val="7.5"/>
        <color rgb="FF333333"/>
        <rFont val="Arial"/>
        <family val="2"/>
      </rPr>
      <t xml:space="preserve">de fecha 19 de agosto de 2025, erogaron por </t>
    </r>
    <r>
      <rPr>
        <b/>
        <sz val="7.5"/>
        <color rgb="FF333333"/>
        <rFont val="Arial"/>
        <family val="2"/>
      </rPr>
      <t>insumos de cafetería</t>
    </r>
    <r>
      <rPr>
        <sz val="7.5"/>
        <color rgb="FF333333"/>
        <rFont val="Arial"/>
        <family val="2"/>
      </rPr>
      <t xml:space="preserve">, un monto de </t>
    </r>
    <r>
      <rPr>
        <b/>
        <sz val="7.5"/>
        <color rgb="FF333333"/>
        <rFont val="Arial"/>
        <family val="2"/>
      </rPr>
      <t>$32,007.51</t>
    </r>
    <r>
      <rPr>
        <sz val="7.5"/>
        <color rgb="FF333333"/>
        <rFont val="Arial"/>
        <family val="2"/>
      </rPr>
      <t xml:space="preserve">, pagados mediante transferencias electrónicas de la cuenta bancaria ******0895, aperturada en la Institución Financiera Banco Mercantil del Norte S.A., gastos amparados mediante comprobantes fiscales digitales por internet emitidos por la proveedora </t>
    </r>
    <r>
      <rPr>
        <b/>
        <sz val="7.5"/>
        <color rgb="FF333333"/>
        <rFont val="Arial"/>
        <family val="2"/>
      </rPr>
      <t>Claudia Morales Cuatecontzi</t>
    </r>
    <r>
      <rPr>
        <sz val="7.5"/>
        <color rgb="FF333333"/>
        <rFont val="Arial"/>
        <family val="2"/>
      </rPr>
      <t xml:space="preserve">; información que se precisa en el cuadro adjunto, de lo anterior, se detectó la </t>
    </r>
    <r>
      <rPr>
        <b/>
        <sz val="7.5"/>
        <color rgb="FF333333"/>
        <rFont val="Arial"/>
        <family val="2"/>
      </rPr>
      <t>falta de documentación justificativa</t>
    </r>
    <r>
      <rPr>
        <sz val="7.5"/>
        <color rgb="FF333333"/>
        <rFont val="Arial"/>
        <family val="2"/>
      </rPr>
      <t xml:space="preserve">, debido que </t>
    </r>
    <r>
      <rPr>
        <b/>
        <sz val="7.5"/>
        <color rgb="FF333333"/>
        <rFont val="Arial"/>
        <family val="2"/>
      </rPr>
      <t xml:space="preserve">omitieron integrar </t>
    </r>
    <r>
      <rPr>
        <sz val="7.5"/>
        <color rgb="FF333333"/>
        <rFont val="Arial"/>
        <family val="2"/>
      </rPr>
      <t>vales de recepción de los insumos así controles de entradas y salidas del almacén que permitan mantener un adecuado control y existencias de los insumos adquiridos.</t>
    </r>
  </si>
  <si>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CCLET/1567/2025 el cual se encuentra respaldado con la copia certificada que se relaciona en el mismo.</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</si>
  <si>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copia certificada de las pólizas D00121, D00022, D00122, C00128,  en las cuales se aprecia la reclasificación conforme a las recomendaciones realizadas por este ente fiscalizador, en lo subsecuente se tendrá especial cuidado en el registro de las operaciones de este organismo a fin de dar cumplimiento a la Ley General de Contabilidad Gubernamental y Código Financiero para el Estado de Tlaxcala. Por lo anterior, se solicita atentamente dar por solventada la observación de referencia.</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</si>
  <si>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oficio original  CCLET/1564/2025, CCLET/1495/2025, CCLET/1533/2025, CCLET/1534/2025, CCLET/1558/2025, mismos que contienen copia certificada de la documentación justificativa del indicador correspondiente.</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</si>
  <si>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oficio original CCLET/1576/2025, por lo que con estas acciones se atiende la normatividad de la Ley Laboral de los Servidores Públicos del Estado de Tlaxcala.</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</si>
  <si>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CCLET/1561/2025 y copia certificada de las pólizas C00082 y C00132.</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</si>
  <si>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CCLET/1562/2025 el cual se encuentra respaldado con la copia certificada de la póliza C00092.</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</si>
  <si>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CCLET/1575/2025 el cual se encuentra respaldado con la copia certificada de las pólizas C0013,  C0026, C0049, C00065, C00088, C00107, C00127 ,C00153.</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</si>
  <si>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CCLET/1572/2025 el cual se encuentra respaldado con la copia certificada que se relaciona en el mismo.</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</si>
  <si>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copia certificvada de la póliza C00223 la cuál se complementa con el oficio DAyCS/5056/2025 con la justificación del gasto; por lo que con esto se da cumplimiento a lo establecido en los Artículos 134 de la Constitución Política de los Estados Unidos Mexicanos; 42 párrafo primero, 43 de la Ley General de Contabilidad Gubernamental, 302 párrafo primero y 309 párrafo segundo del Código Financiero para el Estado de Tlaxcala; por lo que se solicita atentamente tenga a bien recibir y dar por solventada la observación de referencia.</t>
  </si>
  <si>
    <t xml:space="preserve">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copia certificada de la Constancia actualizada del proveedor donde se verifica que cuenta con la actividad económica "Servicios de  Arquitectura” para poder atender el requerimiento respecto a los planos arquitectónicos, para veracidad se anexa copia certificada de la curricular del proveedor donde se constata que cuenta con la  experiencia para prestar los servicios que corresponde a la actividad económica que regula la transacción realizada; por lo que con esto se da cumplimiento a los artículos 134 de la Constitución Política de los Estados Unidos Mexicanos; 42 párrafo primero, 43 de la Ley General de Contabilidad Gubernamental, 302 párrafo primero y 309 párrafo segundo del Código Financiero para el Estado de Tlaxcala y 69-B del Código Fiscal de la Federación.
</t>
  </si>
  <si>
    <t>De conformidad con el artículo 35 de la Ley de Fiscalización Superior y Rendición de Cuentas del Estado de Tlaxcala y sus Municipios párrafo segundo, se remite a este Órgano de Fiscalización Superior del Congreso del Estado de Tlaxcala, propuesta de Solventación consistente en original del oficio CCLET/1560/2025 y copia certificada de las pólizas C00094, C00093, C00098, C00128, 1.	Copia certificada del documento emitido por "Intely Vale S. de R.L. de C.V."  de fecha 22 de octubre de 2025, Copia certificada de Regla 3.3.1.7 y Copia Certificada de la Regla 3.3.1.10.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</si>
</sst>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1"/>
      <color theme="1"/>
      <name val="Calibri"/>
      <family val="2"/>
      <scheme val="minor"/>
    </font>
    <font>
      <b/>
      <sz val="8.5"/>
      <color rgb="FF333333"/>
      <name val="Arial"/>
      <family val="2"/>
    </font>
    <font>
      <b/>
      <sz val="7"/>
      <color rgb="FF333333"/>
      <name val="Arial"/>
      <family val="2"/>
    </font>
    <font>
      <b/>
      <sz val="6.5"/>
      <color rgb="FF333333"/>
      <name val="Arial"/>
      <family val="2"/>
    </font>
    <font>
      <sz val="9.5"/>
      <color rgb="FF333333"/>
      <name val="Arial"/>
      <family val="2"/>
    </font>
    <font>
      <sz val="8"/>
      <color theme="1"/>
      <name val="Times New Roman"/>
      <family val="1"/>
    </font>
    <font>
      <sz val="7.5"/>
      <color rgb="FF333333"/>
      <name val="Arial"/>
      <family val="2"/>
    </font>
    <font>
      <sz val="11.5"/>
      <color theme="1"/>
      <name val="Times New Roman"/>
      <family val="1"/>
    </font>
    <font>
      <sz val="6"/>
      <color theme="1"/>
      <name val="Times New Roman"/>
      <family val="1"/>
    </font>
    <font>
      <b/>
      <sz val="7.5"/>
      <color rgb="FF333333"/>
      <name val="Arial"/>
      <family val="2"/>
    </font>
    <font>
      <b/>
      <sz val="6"/>
      <color rgb="FF333333"/>
      <name val="Arial"/>
      <family val="2"/>
    </font>
    <font>
      <sz val="6"/>
      <color rgb="FF333333"/>
      <name val="Arial"/>
      <family val="2"/>
    </font>
    <font>
      <sz val="7"/>
      <color theme="1"/>
      <name val="Times New Roman"/>
      <family val="1"/>
    </font>
    <font>
      <sz val="11"/>
      <color theme="1"/>
      <name val="Times New Roman"/>
      <family val="1"/>
    </font>
    <font>
      <sz val="7.5"/>
      <color rgb="FF333333"/>
      <name val="Times New Roman"/>
      <family val="1"/>
    </font>
    <font>
      <b/>
      <sz val="7"/>
      <color theme="1"/>
      <name val="Calibri"/>
      <family val="2"/>
      <scheme val="minor"/>
    </font>
    <font>
      <sz val="1"/>
      <color theme="1"/>
      <name val="Arial"/>
      <family val="2"/>
    </font>
    <font>
      <sz val="10.5"/>
      <color theme="1"/>
      <name val="Times New Roman"/>
      <family val="1"/>
    </font>
    <font>
      <sz val="11"/>
      <color theme="1"/>
      <name val="Calibri"/>
      <family val="2"/>
      <scheme val="minor"/>
    </font>
    <font>
      <b/>
      <sz val="11"/>
      <color theme="1"/>
      <name val="Calibri"/>
      <family val="2"/>
      <scheme val="minor"/>
    </font>
    <font>
      <b/>
      <sz val="8.5"/>
      <color theme="1"/>
      <name val="Arial"/>
      <family val="2"/>
    </font>
    <font>
      <sz val="4.5"/>
      <color theme="1"/>
      <name val="Times New Roman"/>
      <family val="1"/>
    </font>
    <font>
      <sz val="5"/>
      <color theme="1"/>
      <name val="Times New Roman"/>
      <family val="1"/>
    </font>
    <font>
      <b/>
      <sz val="9"/>
      <color theme="1"/>
      <name val="Arial"/>
      <family val="2"/>
    </font>
    <font>
      <sz val="7"/>
      <color rgb="FF333333"/>
      <name val="Times New Roman"/>
      <family val="1"/>
    </font>
    <font>
      <sz val="9"/>
      <color theme="1"/>
      <name val="Arial"/>
      <family val="2"/>
    </font>
    <font>
      <sz val="7.5"/>
      <color theme="1"/>
      <name val="Arial"/>
      <family val="2"/>
    </font>
    <font>
      <sz val="9"/>
      <color rgb="FF333333"/>
      <name val="Arial"/>
      <family val="2"/>
    </font>
    <font>
      <sz val="10"/>
      <color theme="1"/>
      <name val="Calibri"/>
      <family val="2"/>
      <scheme val="minor"/>
    </font>
  </fonts>
  <fills count="4">
    <fill>
      <patternFill patternType="none"/>
    </fill>
    <fill>
      <patternFill patternType="gray125"/>
    </fill>
    <fill>
      <patternFill patternType="solid">
        <fgColor rgb="FFBABABA"/>
        <bgColor indexed="64"/>
      </patternFill>
    </fill>
    <fill>
      <patternFill patternType="solid">
        <fgColor theme="0" tint="-0.24994659260841701"/>
        <bgColor indexed="64"/>
      </patternFill>
    </fill>
  </fills>
  <borders count="28">
    <border>
      <left/>
      <right/>
      <top/>
      <bottom/>
      <diagonal/>
    </border>
    <border>
      <left style="medium">
        <color rgb="FF333333"/>
      </left>
      <right style="medium">
        <color rgb="FF333333"/>
      </right>
      <top style="medium">
        <color rgb="FF333333"/>
      </top>
      <bottom/>
      <diagonal/>
    </border>
    <border>
      <left style="medium">
        <color rgb="FF333333"/>
      </left>
      <right style="medium">
        <color rgb="FF333333"/>
      </right>
      <top/>
      <bottom style="medium">
        <color rgb="FF333333"/>
      </bottom>
      <diagonal/>
    </border>
    <border>
      <left/>
      <right style="medium">
        <color rgb="FF333333"/>
      </right>
      <top style="medium">
        <color rgb="FF333333"/>
      </top>
      <bottom style="medium">
        <color rgb="FF333333"/>
      </bottom>
      <diagonal/>
    </border>
    <border>
      <left/>
      <right style="medium">
        <color rgb="FF333333"/>
      </right>
      <top style="medium">
        <color rgb="FF333333"/>
      </top>
      <bottom/>
      <diagonal/>
    </border>
    <border>
      <left/>
      <right style="medium">
        <color rgb="FF333333"/>
      </right>
      <top/>
      <bottom style="medium">
        <color rgb="FF333333"/>
      </bottom>
      <diagonal/>
    </border>
    <border>
      <left/>
      <right/>
      <top style="medium">
        <color rgb="FF333333"/>
      </top>
      <bottom/>
      <diagonal/>
    </border>
    <border>
      <left/>
      <right/>
      <top/>
      <bottom style="medium">
        <color rgb="FF333333"/>
      </bottom>
      <diagonal/>
    </border>
    <border>
      <left style="medium">
        <color rgb="FF333333"/>
      </left>
      <right/>
      <top/>
      <bottom style="medium">
        <color rgb="FF333333"/>
      </bottom>
      <diagonal/>
    </border>
    <border>
      <left style="medium">
        <color rgb="FF333333"/>
      </left>
      <right/>
      <top style="medium">
        <color rgb="FF333333"/>
      </top>
      <bottom style="medium">
        <color rgb="FF333333"/>
      </bottom>
      <diagonal/>
    </border>
    <border>
      <left style="medium">
        <color rgb="FF333333"/>
      </left>
      <right/>
      <top style="medium">
        <color rgb="FF333333"/>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medium">
        <color rgb="FF333333"/>
      </left>
      <right/>
      <top style="thin">
        <color indexed="64"/>
      </top>
      <bottom style="thin">
        <color indexed="64"/>
      </bottom>
      <diagonal/>
    </border>
    <border>
      <left/>
      <right style="medium">
        <color rgb="FF333333"/>
      </right>
      <top style="thin">
        <color indexed="64"/>
      </top>
      <bottom style="thin">
        <color indexed="64"/>
      </bottom>
      <diagonal/>
    </border>
  </borders>
  <cellStyleXfs count="2">
    <xf numFmtId="0" fontId="0" fillId="0" borderId="0"/>
    <xf numFmtId="43" fontId="18" fillId="0" borderId="0" applyFont="0" applyFill="0" applyBorder="0" applyAlignment="0" applyProtection="0"/>
  </cellStyleXfs>
  <cellXfs count="383">
    <xf numFmtId="0" fontId="0" fillId="0" borderId="0" xfId="0"/>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1" fillId="0" borderId="12" xfId="0" applyFont="1" applyBorder="1" applyAlignment="1">
      <alignment horizontal="center" vertical="center" wrapText="1"/>
    </xf>
    <xf numFmtId="0" fontId="10" fillId="0" borderId="11" xfId="0" applyFont="1" applyBorder="1" applyAlignment="1">
      <alignment horizontal="left" vertical="center" wrapText="1" indent="1"/>
    </xf>
    <xf numFmtId="0" fontId="10" fillId="0" borderId="11" xfId="0" applyFont="1" applyBorder="1" applyAlignment="1">
      <alignment vertical="center" wrapText="1"/>
    </xf>
    <xf numFmtId="0" fontId="10" fillId="0" borderId="11"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1" xfId="0" applyFont="1" applyBorder="1" applyAlignment="1">
      <alignment vertical="center" wrapText="1"/>
    </xf>
    <xf numFmtId="0" fontId="11" fillId="0" borderId="11" xfId="0" applyFont="1" applyBorder="1" applyAlignment="1">
      <alignment horizontal="justify" vertical="center" wrapText="1"/>
    </xf>
    <xf numFmtId="0" fontId="10" fillId="0" borderId="13" xfId="0" applyFont="1" applyBorder="1" applyAlignment="1">
      <alignment horizontal="center" vertical="center" wrapText="1"/>
    </xf>
    <xf numFmtId="0" fontId="3" fillId="0" borderId="15" xfId="0" applyFont="1" applyBorder="1" applyAlignment="1">
      <alignment horizontal="justify" vertical="center" wrapText="1"/>
    </xf>
    <xf numFmtId="0" fontId="0" fillId="0" borderId="16" xfId="0" applyBorder="1" applyAlignment="1">
      <alignment vertical="top" wrapText="1"/>
    </xf>
    <xf numFmtId="0" fontId="8" fillId="0" borderId="13" xfId="0" applyFont="1" applyBorder="1" applyAlignment="1">
      <alignment vertical="center" wrapText="1"/>
    </xf>
    <xf numFmtId="0" fontId="8" fillId="0" borderId="17" xfId="0" applyFont="1" applyBorder="1" applyAlignment="1">
      <alignment vertical="center" wrapText="1"/>
    </xf>
    <xf numFmtId="0" fontId="8" fillId="0" borderId="14" xfId="0" applyFont="1" applyBorder="1" applyAlignment="1">
      <alignment vertical="center" wrapText="1"/>
    </xf>
    <xf numFmtId="0" fontId="5" fillId="0" borderId="15" xfId="0" applyFont="1" applyBorder="1" applyAlignment="1">
      <alignment vertical="center" wrapText="1"/>
    </xf>
    <xf numFmtId="0" fontId="5" fillId="0" borderId="0" xfId="0" applyFont="1" applyAlignment="1">
      <alignment vertical="center" wrapText="1"/>
    </xf>
    <xf numFmtId="0" fontId="5" fillId="0" borderId="13" xfId="0" applyFont="1" applyBorder="1" applyAlignment="1">
      <alignment vertical="center" wrapText="1"/>
    </xf>
    <xf numFmtId="0" fontId="5" fillId="0" borderId="17" xfId="0" applyFont="1" applyBorder="1" applyAlignment="1">
      <alignment vertical="center" wrapText="1"/>
    </xf>
    <xf numFmtId="0" fontId="0" fillId="0" borderId="17" xfId="0" applyBorder="1" applyAlignment="1">
      <alignment vertical="top" wrapText="1"/>
    </xf>
    <xf numFmtId="0" fontId="0" fillId="0" borderId="14" xfId="0" applyBorder="1" applyAlignment="1">
      <alignment vertical="top" wrapText="1"/>
    </xf>
    <xf numFmtId="0" fontId="9" fillId="3" borderId="11" xfId="0" applyFont="1" applyFill="1" applyBorder="1" applyAlignment="1">
      <alignment horizontal="center" vertical="center" wrapText="1"/>
    </xf>
    <xf numFmtId="0" fontId="11" fillId="0" borderId="11" xfId="0" applyFont="1" applyBorder="1" applyAlignment="1">
      <alignment horizontal="left" vertical="center" wrapText="1" indent="1"/>
    </xf>
    <xf numFmtId="14" fontId="11" fillId="0" borderId="11" xfId="0" applyNumberFormat="1" applyFont="1" applyBorder="1" applyAlignment="1">
      <alignment horizontal="right" vertical="center" wrapText="1"/>
    </xf>
    <xf numFmtId="0" fontId="0" fillId="0" borderId="23" xfId="0" applyBorder="1"/>
    <xf numFmtId="0" fontId="0" fillId="0" borderId="24" xfId="0" applyBorder="1" applyAlignment="1">
      <alignment vertical="top" wrapText="1"/>
    </xf>
    <xf numFmtId="0" fontId="6" fillId="0" borderId="17" xfId="0" applyFont="1" applyBorder="1" applyAlignment="1">
      <alignment horizontal="center" vertical="center" wrapText="1"/>
    </xf>
    <xf numFmtId="0" fontId="7" fillId="0" borderId="17" xfId="0" applyFont="1" applyBorder="1" applyAlignment="1">
      <alignment horizontal="center" vertical="center" wrapText="1"/>
    </xf>
    <xf numFmtId="0" fontId="0" fillId="0" borderId="17" xfId="0" applyBorder="1"/>
    <xf numFmtId="0" fontId="12" fillId="0" borderId="13" xfId="0" applyFont="1" applyBorder="1" applyAlignment="1">
      <alignment vertical="center" wrapText="1"/>
    </xf>
    <xf numFmtId="0" fontId="12" fillId="0" borderId="17" xfId="0" applyFont="1" applyBorder="1" applyAlignment="1">
      <alignment vertical="center" wrapText="1"/>
    </xf>
    <xf numFmtId="14" fontId="6" fillId="0" borderId="0" xfId="0" applyNumberFormat="1" applyFont="1" applyAlignment="1">
      <alignment horizontal="center" vertical="center" wrapText="1"/>
    </xf>
    <xf numFmtId="0" fontId="3" fillId="0" borderId="13" xfId="0" applyFont="1" applyBorder="1" applyAlignment="1">
      <alignment horizontal="justify" vertical="center" wrapText="1"/>
    </xf>
    <xf numFmtId="0" fontId="6" fillId="0" borderId="17" xfId="0" applyFont="1" applyBorder="1" applyAlignment="1">
      <alignment horizontal="justify" vertical="center" wrapText="1"/>
    </xf>
    <xf numFmtId="0" fontId="12" fillId="0" borderId="15" xfId="0" applyFont="1" applyBorder="1" applyAlignment="1">
      <alignment vertical="center" wrapText="1"/>
    </xf>
    <xf numFmtId="0" fontId="12" fillId="0" borderId="0" xfId="0" applyFont="1" applyAlignment="1">
      <alignment vertical="center" wrapText="1"/>
    </xf>
    <xf numFmtId="0" fontId="6" fillId="0" borderId="24" xfId="0" applyFont="1" applyBorder="1" applyAlignment="1">
      <alignment horizontal="justify" vertical="center" wrapText="1"/>
    </xf>
    <xf numFmtId="0" fontId="0" fillId="0" borderId="24" xfId="0" applyBorder="1"/>
    <xf numFmtId="0" fontId="5" fillId="0" borderId="24" xfId="0" applyFont="1" applyBorder="1" applyAlignment="1">
      <alignment vertical="center" wrapText="1"/>
    </xf>
    <xf numFmtId="0" fontId="9" fillId="2" borderId="11" xfId="0" applyFont="1" applyFill="1" applyBorder="1" applyAlignment="1">
      <alignment horizontal="center" vertical="center" wrapText="1"/>
    </xf>
    <xf numFmtId="14" fontId="11" fillId="0" borderId="11"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12" fillId="0" borderId="17" xfId="0" applyFont="1" applyBorder="1" applyAlignment="1">
      <alignment horizontal="center" vertical="center" wrapText="1"/>
    </xf>
    <xf numFmtId="0" fontId="11" fillId="0" borderId="14" xfId="0" applyFont="1" applyBorder="1" applyAlignment="1">
      <alignment horizontal="center" vertical="center" wrapText="1"/>
    </xf>
    <xf numFmtId="0" fontId="9" fillId="3" borderId="14" xfId="0" applyFont="1" applyFill="1" applyBorder="1" applyAlignment="1">
      <alignment horizontal="center" vertical="center" wrapText="1"/>
    </xf>
    <xf numFmtId="0" fontId="0" fillId="0" borderId="14" xfId="0" applyBorder="1"/>
    <xf numFmtId="0" fontId="6" fillId="0" borderId="22" xfId="0" applyFont="1" applyBorder="1" applyAlignment="1">
      <alignment horizontal="center" vertical="center" wrapText="1"/>
    </xf>
    <xf numFmtId="0" fontId="6" fillId="0" borderId="24" xfId="0" applyFont="1" applyBorder="1" applyAlignment="1">
      <alignment horizontal="center" vertical="center" wrapText="1"/>
    </xf>
    <xf numFmtId="0" fontId="0" fillId="0" borderId="25" xfId="0" applyBorder="1"/>
    <xf numFmtId="14" fontId="6" fillId="0" borderId="13" xfId="0" applyNumberFormat="1"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4" xfId="0" applyBorder="1" applyAlignment="1">
      <alignment horizontal="center"/>
    </xf>
    <xf numFmtId="0" fontId="6" fillId="0" borderId="23" xfId="0" applyFont="1" applyBorder="1" applyAlignment="1">
      <alignment horizontal="justify" vertical="top" wrapText="1"/>
    </xf>
    <xf numFmtId="0" fontId="11" fillId="0" borderId="11" xfId="0" applyFont="1" applyBorder="1" applyAlignment="1">
      <alignment horizontal="right" vertical="center" wrapText="1"/>
    </xf>
    <xf numFmtId="4" fontId="11" fillId="0" borderId="11" xfId="0" applyNumberFormat="1" applyFont="1" applyBorder="1" applyAlignment="1">
      <alignment horizontal="center" vertical="center" wrapText="1"/>
    </xf>
    <xf numFmtId="4" fontId="10" fillId="0" borderId="11" xfId="0" applyNumberFormat="1" applyFont="1" applyBorder="1" applyAlignment="1">
      <alignment horizontal="center" vertical="center" wrapText="1"/>
    </xf>
    <xf numFmtId="0" fontId="5" fillId="0" borderId="11" xfId="0" applyFont="1" applyBorder="1" applyAlignment="1">
      <alignment vertical="center" wrapText="1"/>
    </xf>
    <xf numFmtId="0" fontId="10" fillId="0" borderId="11" xfId="0" applyFont="1" applyBorder="1" applyAlignment="1">
      <alignment horizontal="right" vertical="center" wrapText="1"/>
    </xf>
    <xf numFmtId="0" fontId="0" fillId="0" borderId="0" xfId="0" applyAlignment="1">
      <alignment horizontal="center"/>
    </xf>
    <xf numFmtId="0" fontId="5" fillId="0" borderId="22" xfId="0" applyFont="1" applyBorder="1" applyAlignment="1">
      <alignment vertical="center" wrapText="1"/>
    </xf>
    <xf numFmtId="14" fontId="6" fillId="0" borderId="24" xfId="0" applyNumberFormat="1" applyFont="1" applyBorder="1" applyAlignment="1">
      <alignment horizontal="center" vertical="center" wrapText="1"/>
    </xf>
    <xf numFmtId="4" fontId="11" fillId="0" borderId="23" xfId="0" applyNumberFormat="1" applyFont="1" applyBorder="1" applyAlignment="1">
      <alignment horizontal="center" vertical="center" wrapText="1"/>
    </xf>
    <xf numFmtId="0" fontId="11" fillId="0" borderId="16" xfId="0" applyFont="1" applyBorder="1" applyAlignment="1">
      <alignment horizontal="right" vertical="center" wrapText="1"/>
    </xf>
    <xf numFmtId="0" fontId="11" fillId="0" borderId="16" xfId="0" applyFont="1" applyBorder="1" applyAlignment="1">
      <alignment horizontal="center" vertical="center" wrapText="1"/>
    </xf>
    <xf numFmtId="0" fontId="0" fillId="0" borderId="16" xfId="0" applyBorder="1"/>
    <xf numFmtId="14" fontId="11" fillId="0" borderId="16" xfId="0" applyNumberFormat="1" applyFont="1" applyBorder="1" applyAlignment="1">
      <alignment horizontal="center" vertical="center" wrapText="1"/>
    </xf>
    <xf numFmtId="0" fontId="11" fillId="0" borderId="16" xfId="0" applyFont="1" applyBorder="1" applyAlignment="1">
      <alignment horizontal="left" vertical="center" wrapText="1" indent="1"/>
    </xf>
    <xf numFmtId="4" fontId="11" fillId="0" borderId="19" xfId="0" applyNumberFormat="1" applyFont="1" applyBorder="1" applyAlignment="1">
      <alignment horizontal="center" vertical="center" wrapText="1"/>
    </xf>
    <xf numFmtId="0" fontId="6" fillId="0" borderId="14" xfId="0" applyFont="1" applyBorder="1" applyAlignment="1">
      <alignment vertical="center" wrapText="1"/>
    </xf>
    <xf numFmtId="0" fontId="5" fillId="0" borderId="15" xfId="0" applyFont="1" applyBorder="1" applyAlignment="1">
      <alignment horizontal="center" vertical="center" wrapText="1"/>
    </xf>
    <xf numFmtId="0" fontId="6" fillId="0" borderId="23" xfId="0" applyFont="1" applyBorder="1" applyAlignment="1">
      <alignment horizontal="justify" vertical="center" wrapText="1"/>
    </xf>
    <xf numFmtId="4" fontId="11" fillId="0" borderId="23" xfId="0" applyNumberFormat="1" applyFont="1" applyBorder="1" applyAlignment="1">
      <alignment horizontal="right" vertical="center" wrapText="1"/>
    </xf>
    <xf numFmtId="0" fontId="9" fillId="2" borderId="12" xfId="0" applyFont="1" applyFill="1" applyBorder="1" applyAlignment="1">
      <alignment horizontal="center" vertical="center" wrapText="1"/>
    </xf>
    <xf numFmtId="14" fontId="6" fillId="0" borderId="14" xfId="0" applyNumberFormat="1" applyFont="1" applyBorder="1" applyAlignment="1">
      <alignment horizontal="center" vertical="center" wrapText="1"/>
    </xf>
    <xf numFmtId="4" fontId="6" fillId="0" borderId="17" xfId="0" applyNumberFormat="1" applyFont="1" applyBorder="1" applyAlignment="1">
      <alignment horizontal="right" vertical="center" wrapText="1"/>
    </xf>
    <xf numFmtId="0" fontId="11" fillId="0" borderId="24" xfId="0" applyFont="1" applyBorder="1" applyAlignment="1">
      <alignment horizontal="right" vertical="center" wrapText="1"/>
    </xf>
    <xf numFmtId="0" fontId="0" fillId="0" borderId="19" xfId="0" applyBorder="1"/>
    <xf numFmtId="49" fontId="11" fillId="0" borderId="11" xfId="0" applyNumberFormat="1" applyFont="1" applyBorder="1" applyAlignment="1">
      <alignment vertical="center" wrapText="1"/>
    </xf>
    <xf numFmtId="4" fontId="11" fillId="0" borderId="11" xfId="0" applyNumberFormat="1" applyFont="1" applyBorder="1" applyAlignment="1">
      <alignment horizontal="right" vertical="center" wrapText="1"/>
    </xf>
    <xf numFmtId="4" fontId="10" fillId="0" borderId="11" xfId="0" applyNumberFormat="1" applyFont="1" applyBorder="1" applyAlignment="1">
      <alignment horizontal="right" vertical="center" wrapText="1"/>
    </xf>
    <xf numFmtId="0" fontId="6" fillId="0" borderId="24" xfId="0" applyFont="1" applyBorder="1" applyAlignment="1">
      <alignment horizontal="left" vertical="center" wrapText="1" indent="2"/>
    </xf>
    <xf numFmtId="0" fontId="17" fillId="0" borderId="24" xfId="0" applyFont="1" applyBorder="1" applyAlignment="1">
      <alignment vertical="center" wrapText="1"/>
    </xf>
    <xf numFmtId="0" fontId="8" fillId="0" borderId="24" xfId="0" applyFont="1" applyBorder="1" applyAlignment="1">
      <alignment vertical="center" wrapText="1"/>
    </xf>
    <xf numFmtId="4" fontId="11" fillId="0" borderId="14" xfId="0" applyNumberFormat="1" applyFont="1" applyBorder="1" applyAlignment="1">
      <alignment horizontal="right" vertical="center" wrapText="1"/>
    </xf>
    <xf numFmtId="4" fontId="10" fillId="0" borderId="13" xfId="0" applyNumberFormat="1" applyFont="1" applyBorder="1" applyAlignment="1">
      <alignment horizontal="right" vertical="center" wrapText="1"/>
    </xf>
    <xf numFmtId="43" fontId="11" fillId="0" borderId="11" xfId="1" applyFont="1" applyBorder="1" applyAlignment="1">
      <alignment horizontal="right" vertical="center" wrapText="1"/>
    </xf>
    <xf numFmtId="43" fontId="11" fillId="0" borderId="11" xfId="1" applyFont="1" applyBorder="1" applyAlignment="1">
      <alignment horizontal="left" vertical="center" wrapText="1" indent="2"/>
    </xf>
    <xf numFmtId="43" fontId="11" fillId="0" borderId="11" xfId="1" applyFont="1" applyBorder="1" applyAlignment="1">
      <alignment horizontal="left" vertical="center" wrapText="1" indent="1"/>
    </xf>
    <xf numFmtId="43" fontId="10" fillId="0" borderId="11" xfId="1" applyFont="1" applyBorder="1" applyAlignment="1">
      <alignment horizontal="left" vertical="center" wrapText="1" indent="1"/>
    </xf>
    <xf numFmtId="0" fontId="9" fillId="2" borderId="13" xfId="0" applyFont="1" applyFill="1" applyBorder="1" applyAlignment="1">
      <alignment horizontal="center" vertical="center" wrapText="1"/>
    </xf>
    <xf numFmtId="14" fontId="6" fillId="0" borderId="0" xfId="0" applyNumberFormat="1" applyFont="1" applyAlignment="1">
      <alignment vertical="center" wrapText="1"/>
    </xf>
    <xf numFmtId="0" fontId="7" fillId="0" borderId="24" xfId="0" applyFont="1" applyBorder="1" applyAlignment="1">
      <alignment vertical="center" wrapText="1"/>
    </xf>
    <xf numFmtId="0" fontId="8" fillId="0" borderId="23" xfId="0" applyFont="1" applyBorder="1" applyAlignment="1">
      <alignment vertical="center" wrapText="1"/>
    </xf>
    <xf numFmtId="43" fontId="11" fillId="0" borderId="11" xfId="1" applyFont="1" applyBorder="1" applyAlignment="1">
      <alignment vertical="center" wrapText="1"/>
    </xf>
    <xf numFmtId="43" fontId="2" fillId="2" borderId="4" xfId="1" applyFont="1" applyFill="1" applyBorder="1" applyAlignment="1">
      <alignment horizontal="center" vertical="center" wrapText="1"/>
    </xf>
    <xf numFmtId="43" fontId="2" fillId="2" borderId="5" xfId="1" applyFont="1" applyFill="1" applyBorder="1" applyAlignment="1">
      <alignment horizontal="center" vertical="center" wrapText="1"/>
    </xf>
    <xf numFmtId="43" fontId="12" fillId="0" borderId="13" xfId="1" applyFont="1" applyBorder="1" applyAlignment="1">
      <alignment vertical="center" wrapText="1"/>
    </xf>
    <xf numFmtId="43" fontId="12" fillId="0" borderId="17" xfId="1" applyFont="1" applyBorder="1" applyAlignment="1">
      <alignment vertical="center" wrapText="1"/>
    </xf>
    <xf numFmtId="43" fontId="0" fillId="0" borderId="0" xfId="1" applyFont="1"/>
    <xf numFmtId="43" fontId="5" fillId="0" borderId="15" xfId="1" applyFont="1" applyBorder="1" applyAlignment="1">
      <alignment horizontal="center" vertical="center" wrapText="1"/>
    </xf>
    <xf numFmtId="43" fontId="6" fillId="0" borderId="16" xfId="1" applyFont="1" applyBorder="1" applyAlignment="1">
      <alignment horizontal="center" vertical="center" wrapText="1"/>
    </xf>
    <xf numFmtId="43" fontId="6" fillId="0" borderId="17" xfId="1" applyFont="1" applyBorder="1" applyAlignment="1">
      <alignment horizontal="center" vertical="center" wrapText="1"/>
    </xf>
    <xf numFmtId="43" fontId="6" fillId="0" borderId="17" xfId="1" applyFont="1" applyBorder="1" applyAlignment="1">
      <alignment vertical="center" wrapText="1"/>
    </xf>
    <xf numFmtId="43" fontId="0" fillId="0" borderId="17" xfId="1" applyFont="1" applyBorder="1"/>
    <xf numFmtId="43" fontId="6" fillId="0" borderId="17" xfId="1" applyFont="1" applyBorder="1" applyAlignment="1">
      <alignment horizontal="right" vertical="center" wrapText="1"/>
    </xf>
    <xf numFmtId="43" fontId="5" fillId="0" borderId="13" xfId="1" applyFont="1" applyBorder="1" applyAlignment="1">
      <alignment vertical="center" wrapText="1"/>
    </xf>
    <xf numFmtId="43" fontId="5" fillId="0" borderId="17" xfId="1" applyFont="1" applyBorder="1" applyAlignment="1">
      <alignment vertical="center" wrapText="1"/>
    </xf>
    <xf numFmtId="43" fontId="17" fillId="0" borderId="17" xfId="1" applyFont="1" applyBorder="1" applyAlignment="1">
      <alignment vertical="center" wrapText="1"/>
    </xf>
    <xf numFmtId="43" fontId="0" fillId="0" borderId="17" xfId="1" applyFont="1" applyBorder="1" applyAlignment="1">
      <alignment vertical="top" wrapText="1"/>
    </xf>
    <xf numFmtId="43" fontId="5" fillId="0" borderId="22" xfId="1" applyFont="1" applyBorder="1" applyAlignment="1">
      <alignment vertical="center" wrapText="1"/>
    </xf>
    <xf numFmtId="43" fontId="6" fillId="0" borderId="24" xfId="1" applyFont="1" applyBorder="1" applyAlignment="1">
      <alignment horizontal="left" vertical="center" wrapText="1" indent="4"/>
    </xf>
    <xf numFmtId="43" fontId="7" fillId="0" borderId="24" xfId="1" applyFont="1" applyBorder="1" applyAlignment="1">
      <alignment vertical="center" wrapText="1"/>
    </xf>
    <xf numFmtId="0" fontId="5" fillId="0" borderId="13" xfId="0" applyFont="1" applyBorder="1" applyAlignment="1">
      <alignment horizontal="center" vertical="center" wrapText="1"/>
    </xf>
    <xf numFmtId="0" fontId="5" fillId="0" borderId="17" xfId="0" applyFont="1" applyBorder="1" applyAlignment="1">
      <alignment horizontal="center" vertical="center" wrapText="1"/>
    </xf>
    <xf numFmtId="0" fontId="0" fillId="0" borderId="17" xfId="0" applyBorder="1" applyAlignment="1">
      <alignment horizontal="center" vertical="top" wrapText="1"/>
    </xf>
    <xf numFmtId="0" fontId="0" fillId="0" borderId="14" xfId="0" applyBorder="1" applyAlignment="1">
      <alignment horizontal="center" vertical="top"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0" fillId="0" borderId="24" xfId="0" applyBorder="1" applyAlignment="1">
      <alignment horizontal="center"/>
    </xf>
    <xf numFmtId="0" fontId="0" fillId="0" borderId="24" xfId="0" applyBorder="1" applyAlignment="1">
      <alignment horizontal="center" vertical="top" wrapText="1"/>
    </xf>
    <xf numFmtId="14" fontId="6" fillId="0" borderId="25" xfId="0" applyNumberFormat="1" applyFont="1" applyBorder="1" applyAlignment="1">
      <alignment horizontal="center" vertical="center" wrapText="1"/>
    </xf>
    <xf numFmtId="0" fontId="0" fillId="0" borderId="17" xfId="0" applyBorder="1" applyAlignment="1">
      <alignment horizontal="center"/>
    </xf>
    <xf numFmtId="0" fontId="17" fillId="0" borderId="17" xfId="0" applyFont="1" applyBorder="1" applyAlignment="1">
      <alignment horizontal="center" vertical="center" wrapText="1"/>
    </xf>
    <xf numFmtId="0" fontId="8" fillId="0" borderId="17" xfId="0" applyFont="1" applyBorder="1" applyAlignment="1">
      <alignment horizontal="center" vertical="center" wrapText="1"/>
    </xf>
    <xf numFmtId="43" fontId="5" fillId="0" borderId="0" xfId="1" applyFont="1" applyBorder="1" applyAlignment="1">
      <alignment vertical="center" wrapText="1"/>
    </xf>
    <xf numFmtId="43" fontId="6" fillId="0" borderId="0" xfId="1" applyFont="1" applyBorder="1" applyAlignment="1">
      <alignment horizontal="left" vertical="center" wrapText="1" indent="4"/>
    </xf>
    <xf numFmtId="43" fontId="6" fillId="0" borderId="0" xfId="1" applyFont="1" applyBorder="1" applyAlignment="1">
      <alignment vertical="center" wrapText="1"/>
    </xf>
    <xf numFmtId="43" fontId="0" fillId="0" borderId="0" xfId="1" applyFont="1" applyBorder="1"/>
    <xf numFmtId="43" fontId="6" fillId="0" borderId="0" xfId="1" applyFont="1" applyBorder="1" applyAlignment="1">
      <alignment horizontal="right" vertical="center" wrapText="1"/>
    </xf>
    <xf numFmtId="43" fontId="8" fillId="0" borderId="0" xfId="1" applyFont="1" applyBorder="1" applyAlignment="1">
      <alignment vertical="center" wrapText="1"/>
    </xf>
    <xf numFmtId="43" fontId="22" fillId="0" borderId="0" xfId="1" applyFont="1" applyBorder="1" applyAlignment="1">
      <alignment vertical="center" wrapText="1"/>
    </xf>
    <xf numFmtId="43" fontId="12" fillId="0" borderId="0" xfId="1" applyFont="1" applyBorder="1" applyAlignment="1">
      <alignment vertical="center" wrapText="1"/>
    </xf>
    <xf numFmtId="43" fontId="5" fillId="0" borderId="15" xfId="1" applyFont="1" applyBorder="1" applyAlignment="1">
      <alignment vertical="center" wrapText="1"/>
    </xf>
    <xf numFmtId="0" fontId="6" fillId="0" borderId="16" xfId="0" applyFont="1" applyBorder="1" applyAlignment="1">
      <alignment horizontal="center" vertical="center" wrapText="1"/>
    </xf>
    <xf numFmtId="43" fontId="6" fillId="0" borderId="16" xfId="1" applyFont="1" applyBorder="1" applyAlignment="1">
      <alignment horizontal="right" vertical="center" wrapText="1"/>
    </xf>
    <xf numFmtId="0" fontId="8" fillId="0" borderId="19" xfId="0" applyFont="1" applyBorder="1" applyAlignment="1">
      <alignment vertical="center" wrapText="1"/>
    </xf>
    <xf numFmtId="0" fontId="9" fillId="2" borderId="21" xfId="0" applyFont="1" applyFill="1" applyBorder="1" applyAlignment="1">
      <alignment horizontal="center" vertical="center" wrapText="1"/>
    </xf>
    <xf numFmtId="0" fontId="22" fillId="0" borderId="17"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17" xfId="0" applyBorder="1" applyAlignment="1">
      <alignment horizontal="justify" vertical="top" wrapText="1"/>
    </xf>
    <xf numFmtId="0" fontId="6" fillId="0" borderId="14" xfId="0" applyFont="1" applyBorder="1" applyAlignment="1">
      <alignment horizontal="justify" vertical="center" wrapText="1"/>
    </xf>
    <xf numFmtId="4" fontId="10" fillId="0" borderId="11" xfId="0" applyNumberFormat="1" applyFont="1" applyBorder="1" applyAlignment="1">
      <alignment vertical="center" wrapText="1"/>
    </xf>
    <xf numFmtId="0" fontId="10" fillId="0" borderId="24" xfId="0" applyFont="1" applyBorder="1" applyAlignment="1">
      <alignment vertical="center" wrapText="1"/>
    </xf>
    <xf numFmtId="4" fontId="6" fillId="0" borderId="0" xfId="0" applyNumberFormat="1" applyFont="1" applyAlignment="1">
      <alignment horizontal="left" vertical="center" wrapText="1" indent="4"/>
    </xf>
    <xf numFmtId="0" fontId="3" fillId="0" borderId="18" xfId="0" applyFont="1" applyBorder="1" applyAlignment="1">
      <alignment horizontal="center" vertical="center" wrapText="1"/>
    </xf>
    <xf numFmtId="14" fontId="6" fillId="0" borderId="23" xfId="0" applyNumberFormat="1" applyFont="1" applyBorder="1" applyAlignment="1">
      <alignment horizontal="center" vertical="center" wrapText="1"/>
    </xf>
    <xf numFmtId="0" fontId="9" fillId="2" borderId="19"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0" borderId="23" xfId="0" applyFont="1" applyBorder="1" applyAlignment="1">
      <alignment vertical="center" wrapText="1"/>
    </xf>
    <xf numFmtId="4" fontId="6" fillId="0" borderId="14" xfId="0" applyNumberFormat="1" applyFont="1" applyBorder="1" applyAlignment="1">
      <alignment horizontal="left" vertical="center" wrapText="1" indent="4"/>
    </xf>
    <xf numFmtId="0" fontId="0" fillId="0" borderId="25" xfId="0" applyBorder="1" applyAlignment="1">
      <alignment vertical="top" wrapText="1"/>
    </xf>
    <xf numFmtId="0" fontId="9" fillId="2" borderId="18" xfId="0" applyFont="1" applyFill="1" applyBorder="1" applyAlignment="1">
      <alignment horizontal="center" vertical="center" wrapText="1"/>
    </xf>
    <xf numFmtId="0" fontId="6" fillId="0" borderId="17" xfId="0" applyFont="1" applyBorder="1" applyAlignment="1">
      <alignment horizontal="left" vertical="center" wrapText="1" indent="2"/>
    </xf>
    <xf numFmtId="0" fontId="7" fillId="0" borderId="17" xfId="0" applyFont="1" applyBorder="1" applyAlignment="1">
      <alignment horizontal="justify" vertical="center" wrapText="1"/>
    </xf>
    <xf numFmtId="0" fontId="9" fillId="2" borderId="25"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20" fillId="2" borderId="11" xfId="0" applyFont="1" applyFill="1" applyBorder="1" applyAlignment="1">
      <alignment vertical="center" wrapText="1"/>
    </xf>
    <xf numFmtId="0" fontId="23" fillId="2" borderId="11" xfId="0" applyFont="1" applyFill="1" applyBorder="1" applyAlignment="1">
      <alignment vertical="center" wrapText="1"/>
    </xf>
    <xf numFmtId="0" fontId="2" fillId="2" borderId="11" xfId="0" applyFont="1" applyFill="1" applyBorder="1" applyAlignment="1">
      <alignment horizontal="center" vertical="center" wrapText="1"/>
    </xf>
    <xf numFmtId="0" fontId="1" fillId="2" borderId="11" xfId="0" applyFont="1" applyFill="1" applyBorder="1" applyAlignment="1">
      <alignment vertical="center" wrapText="1"/>
    </xf>
    <xf numFmtId="0" fontId="2" fillId="2" borderId="11" xfId="0" applyFont="1" applyFill="1" applyBorder="1" applyAlignment="1">
      <alignment horizontal="left" vertical="center" wrapText="1" indent="1"/>
    </xf>
    <xf numFmtId="0" fontId="22" fillId="0" borderId="17" xfId="0" applyFont="1" applyBorder="1" applyAlignment="1">
      <alignment vertical="center" wrapText="1"/>
    </xf>
    <xf numFmtId="0" fontId="22" fillId="0" borderId="14" xfId="0" applyFont="1" applyBorder="1" applyAlignment="1">
      <alignment vertical="center" wrapText="1"/>
    </xf>
    <xf numFmtId="0" fontId="19" fillId="0" borderId="0" xfId="0" applyFont="1"/>
    <xf numFmtId="43" fontId="0" fillId="0" borderId="0" xfId="1" applyFont="1" applyAlignment="1"/>
    <xf numFmtId="43" fontId="6" fillId="0" borderId="0" xfId="1" applyFont="1" applyBorder="1" applyAlignment="1">
      <alignment horizontal="center" vertical="center" wrapText="1"/>
    </xf>
    <xf numFmtId="0" fontId="6" fillId="0" borderId="20" xfId="0" applyFont="1" applyBorder="1" applyAlignment="1">
      <alignment horizontal="justify" vertical="center" wrapText="1"/>
    </xf>
    <xf numFmtId="0" fontId="6" fillId="0" borderId="21" xfId="0" applyFont="1" applyBorder="1" applyAlignment="1">
      <alignment horizontal="justify" vertical="center" wrapText="1"/>
    </xf>
    <xf numFmtId="0" fontId="6" fillId="0" borderId="12" xfId="0" applyFont="1" applyBorder="1" applyAlignment="1">
      <alignment horizontal="justify" vertical="center" wrapText="1"/>
    </xf>
    <xf numFmtId="0" fontId="6" fillId="0" borderId="23" xfId="0" applyFont="1" applyBorder="1" applyAlignment="1">
      <alignment horizontal="justify" vertical="center" wrapText="1"/>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10" fillId="0" borderId="11" xfId="0" applyFont="1" applyBorder="1" applyAlignment="1">
      <alignment horizontal="right" vertical="center" wrapText="1"/>
    </xf>
    <xf numFmtId="0" fontId="10" fillId="0" borderId="13" xfId="0" applyFont="1" applyBorder="1" applyAlignment="1">
      <alignment horizontal="right" vertical="center" wrapText="1"/>
    </xf>
    <xf numFmtId="0" fontId="11" fillId="0" borderId="11" xfId="0" applyFont="1" applyBorder="1" applyAlignment="1">
      <alignment horizontal="center" vertical="center" wrapText="1"/>
    </xf>
    <xf numFmtId="14" fontId="11" fillId="0" borderId="13" xfId="0" applyNumberFormat="1" applyFont="1" applyBorder="1" applyAlignment="1">
      <alignment horizontal="center" vertical="center" wrapText="1"/>
    </xf>
    <xf numFmtId="14" fontId="11" fillId="0" borderId="17" xfId="0" applyNumberFormat="1" applyFont="1" applyBorder="1" applyAlignment="1">
      <alignment horizontal="center" vertical="center" wrapText="1"/>
    </xf>
    <xf numFmtId="14" fontId="11" fillId="0" borderId="14" xfId="0" applyNumberFormat="1" applyFont="1" applyBorder="1" applyAlignment="1">
      <alignment horizontal="center" vertical="center" wrapText="1"/>
    </xf>
    <xf numFmtId="0" fontId="11" fillId="0" borderId="11" xfId="0" applyFont="1" applyBorder="1" applyAlignment="1">
      <alignment horizontal="justify" vertical="center" wrapText="1"/>
    </xf>
    <xf numFmtId="0" fontId="6" fillId="0" borderId="0" xfId="0" applyFont="1" applyAlignment="1">
      <alignment horizontal="justify" vertical="top" wrapText="1"/>
    </xf>
    <xf numFmtId="0" fontId="10" fillId="0" borderId="11"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7"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19" xfId="0" applyFont="1" applyBorder="1" applyAlignment="1">
      <alignment horizontal="center" vertical="center" wrapText="1"/>
    </xf>
    <xf numFmtId="0" fontId="8" fillId="0" borderId="24" xfId="0" applyFont="1" applyBorder="1" applyAlignment="1">
      <alignment vertical="center" wrapText="1"/>
    </xf>
    <xf numFmtId="0" fontId="8" fillId="0" borderId="17" xfId="0" applyFont="1" applyBorder="1" applyAlignment="1">
      <alignment horizontal="center" vertical="center" wrapText="1"/>
    </xf>
    <xf numFmtId="43" fontId="8" fillId="0" borderId="17" xfId="1" applyFont="1" applyBorder="1" applyAlignment="1">
      <alignment vertical="center" wrapText="1"/>
    </xf>
    <xf numFmtId="0" fontId="11" fillId="0" borderId="14" xfId="0" applyFont="1" applyBorder="1" applyAlignment="1">
      <alignment horizontal="center" vertical="center" wrapText="1"/>
    </xf>
    <xf numFmtId="0" fontId="11" fillId="0" borderId="14" xfId="0" applyFont="1" applyBorder="1" applyAlignment="1">
      <alignment horizontal="justify" vertical="center" wrapText="1"/>
    </xf>
    <xf numFmtId="0" fontId="12" fillId="0" borderId="23" xfId="0" applyFont="1" applyBorder="1" applyAlignment="1">
      <alignment vertical="center" wrapText="1"/>
    </xf>
    <xf numFmtId="0" fontId="9" fillId="0" borderId="23" xfId="0" applyFont="1" applyBorder="1" applyAlignment="1">
      <alignment horizontal="justify" vertical="center" wrapText="1"/>
    </xf>
    <xf numFmtId="0" fontId="10" fillId="0" borderId="2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20" xfId="0" applyFont="1" applyBorder="1" applyAlignment="1">
      <alignment horizontal="right" vertical="center" wrapText="1"/>
    </xf>
    <xf numFmtId="0" fontId="10" fillId="0" borderId="21" xfId="0" applyFont="1" applyBorder="1" applyAlignment="1">
      <alignment horizontal="right" vertical="center" wrapText="1"/>
    </xf>
    <xf numFmtId="0" fontId="10" fillId="0" borderId="12" xfId="0" applyFont="1" applyBorder="1" applyAlignment="1">
      <alignment horizontal="right" vertical="center" wrapText="1"/>
    </xf>
    <xf numFmtId="0" fontId="6" fillId="0" borderId="15" xfId="0" applyFont="1" applyBorder="1" applyAlignment="1">
      <alignment horizontal="justify" vertical="center" wrapText="1"/>
    </xf>
    <xf numFmtId="0" fontId="6" fillId="0" borderId="18" xfId="0" applyFont="1" applyBorder="1" applyAlignment="1">
      <alignment horizontal="justify" vertical="center" wrapText="1"/>
    </xf>
    <xf numFmtId="14" fontId="6" fillId="0" borderId="17" xfId="0" applyNumberFormat="1" applyFont="1" applyBorder="1" applyAlignment="1">
      <alignment horizontal="center" vertical="center" wrapText="1"/>
    </xf>
    <xf numFmtId="43" fontId="6" fillId="0" borderId="17" xfId="1" applyFont="1" applyBorder="1" applyAlignment="1">
      <alignment horizontal="center" vertical="center" wrapText="1"/>
    </xf>
    <xf numFmtId="14" fontId="6" fillId="0" borderId="14" xfId="0" applyNumberFormat="1" applyFont="1" applyBorder="1" applyAlignment="1">
      <alignment horizontal="center" vertical="center" wrapText="1"/>
    </xf>
    <xf numFmtId="43" fontId="6" fillId="0" borderId="17" xfId="1" applyFont="1" applyBorder="1" applyAlignment="1">
      <alignment horizontal="right" vertical="center" wrapText="1"/>
    </xf>
    <xf numFmtId="43" fontId="6" fillId="0" borderId="14" xfId="1" applyFont="1" applyBorder="1" applyAlignment="1">
      <alignment horizontal="right" vertical="center" wrapText="1"/>
    </xf>
    <xf numFmtId="0" fontId="6" fillId="0" borderId="17" xfId="0" applyFont="1" applyBorder="1" applyAlignment="1">
      <alignment horizontal="justify" vertical="top" wrapText="1"/>
    </xf>
    <xf numFmtId="0" fontId="6" fillId="0" borderId="22" xfId="0" applyFont="1" applyBorder="1" applyAlignment="1">
      <alignment horizontal="justify" vertical="top" wrapText="1"/>
    </xf>
    <xf numFmtId="0" fontId="6" fillId="0" borderId="15" xfId="0" applyFont="1" applyBorder="1" applyAlignment="1">
      <alignment horizontal="justify" vertical="top" wrapText="1"/>
    </xf>
    <xf numFmtId="0" fontId="6" fillId="0" borderId="18" xfId="0" applyFont="1" applyBorder="1" applyAlignment="1">
      <alignment horizontal="justify" vertical="top" wrapText="1"/>
    </xf>
    <xf numFmtId="0" fontId="6" fillId="0" borderId="24" xfId="0" applyFont="1" applyBorder="1" applyAlignment="1">
      <alignment horizontal="justify" vertical="top" wrapText="1"/>
    </xf>
    <xf numFmtId="0" fontId="6" fillId="0" borderId="23" xfId="0" applyFont="1" applyBorder="1" applyAlignment="1">
      <alignment horizontal="justify" vertical="top" wrapText="1"/>
    </xf>
    <xf numFmtId="0" fontId="16" fillId="0" borderId="15" xfId="0" applyFont="1" applyBorder="1" applyAlignment="1">
      <alignment vertical="center" wrapText="1"/>
    </xf>
    <xf numFmtId="0" fontId="6" fillId="0" borderId="17" xfId="0" applyFont="1" applyBorder="1" applyAlignment="1">
      <alignment horizontal="justify" vertical="center" wrapText="1"/>
    </xf>
    <xf numFmtId="0" fontId="10" fillId="0" borderId="21" xfId="0" applyFont="1" applyBorder="1" applyAlignment="1">
      <alignment horizontal="center" vertical="center" wrapText="1"/>
    </xf>
    <xf numFmtId="49" fontId="11" fillId="0" borderId="11" xfId="0" applyNumberFormat="1" applyFont="1" applyBorder="1" applyAlignment="1">
      <alignment horizontal="center" vertical="center" wrapText="1"/>
    </xf>
    <xf numFmtId="0" fontId="15" fillId="0" borderId="11" xfId="0" applyFont="1" applyBorder="1" applyAlignment="1">
      <alignment horizontal="right"/>
    </xf>
    <xf numFmtId="0" fontId="12" fillId="0" borderId="17" xfId="0" applyFont="1" applyBorder="1" applyAlignment="1">
      <alignment vertical="center" wrapText="1"/>
    </xf>
    <xf numFmtId="0" fontId="12" fillId="0" borderId="14" xfId="0" applyFont="1" applyBorder="1" applyAlignment="1">
      <alignment vertical="center" wrapText="1"/>
    </xf>
    <xf numFmtId="0" fontId="12" fillId="0" borderId="16" xfId="0" applyFont="1" applyBorder="1" applyAlignment="1">
      <alignment vertical="center" wrapText="1"/>
    </xf>
    <xf numFmtId="0" fontId="4" fillId="0" borderId="13" xfId="0" applyFont="1" applyBorder="1" applyAlignment="1">
      <alignment horizontal="center" vertical="center" wrapText="1"/>
    </xf>
    <xf numFmtId="0" fontId="4" fillId="0" borderId="17" xfId="0" applyFont="1" applyBorder="1" applyAlignment="1">
      <alignment horizontal="center" vertical="center" wrapText="1"/>
    </xf>
    <xf numFmtId="0" fontId="6" fillId="0" borderId="22" xfId="0" applyFont="1" applyBorder="1" applyAlignment="1">
      <alignment horizontal="justify" vertical="center" wrapText="1"/>
    </xf>
    <xf numFmtId="0" fontId="6" fillId="0" borderId="25" xfId="0" applyFont="1" applyBorder="1" applyAlignment="1">
      <alignment horizontal="left" vertical="center" wrapText="1"/>
    </xf>
    <xf numFmtId="0" fontId="6" fillId="0" borderId="21" xfId="0" applyFont="1" applyBorder="1" applyAlignment="1">
      <alignment horizontal="left" vertical="center" wrapText="1"/>
    </xf>
    <xf numFmtId="0" fontId="6" fillId="0" borderId="12" xfId="0" applyFont="1" applyBorder="1" applyAlignment="1">
      <alignment horizontal="left"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3" fillId="0" borderId="20" xfId="0" applyFont="1" applyBorder="1" applyAlignment="1">
      <alignment horizontal="left" vertical="center" wrapText="1" indent="1"/>
    </xf>
    <xf numFmtId="0" fontId="3" fillId="0" borderId="21" xfId="0" applyFont="1" applyBorder="1" applyAlignment="1">
      <alignment horizontal="left" vertical="center" wrapText="1" indent="1"/>
    </xf>
    <xf numFmtId="0" fontId="3" fillId="0" borderId="12" xfId="0" applyFont="1" applyBorder="1" applyAlignment="1">
      <alignment horizontal="left" vertical="center" wrapText="1" indent="1"/>
    </xf>
    <xf numFmtId="0" fontId="12" fillId="0" borderId="13" xfId="0" applyFont="1" applyBorder="1" applyAlignment="1">
      <alignment vertical="center" wrapText="1"/>
    </xf>
    <xf numFmtId="43" fontId="12" fillId="0" borderId="15" xfId="1" applyFont="1" applyBorder="1" applyAlignment="1">
      <alignment vertical="center" wrapText="1"/>
    </xf>
    <xf numFmtId="0" fontId="9" fillId="0" borderId="15" xfId="0" applyFont="1" applyBorder="1" applyAlignment="1">
      <alignment horizontal="justify" vertical="center" wrapText="1"/>
    </xf>
    <xf numFmtId="0" fontId="9" fillId="0" borderId="18" xfId="0" applyFont="1" applyBorder="1" applyAlignment="1">
      <alignment horizontal="justify" vertical="center" wrapText="1"/>
    </xf>
    <xf numFmtId="0" fontId="6" fillId="0" borderId="20" xfId="0" applyFont="1" applyBorder="1" applyAlignment="1">
      <alignment horizontal="left" vertical="center" wrapText="1"/>
    </xf>
    <xf numFmtId="0" fontId="6" fillId="0" borderId="16" xfId="0" applyFont="1" applyBorder="1" applyAlignment="1">
      <alignment horizontal="left" vertical="center" wrapText="1"/>
    </xf>
    <xf numFmtId="0" fontId="6" fillId="0" borderId="19" xfId="0" applyFont="1" applyBorder="1" applyAlignment="1">
      <alignment horizontal="left" vertical="center" wrapText="1"/>
    </xf>
    <xf numFmtId="0" fontId="2" fillId="2" borderId="1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43" fontId="12" fillId="0" borderId="13" xfId="1" applyFont="1" applyBorder="1" applyAlignment="1">
      <alignment vertical="center" wrapText="1"/>
    </xf>
    <xf numFmtId="43" fontId="12" fillId="0" borderId="17" xfId="1" applyFont="1" applyBorder="1" applyAlignment="1">
      <alignment vertical="center" wrapText="1"/>
    </xf>
    <xf numFmtId="43" fontId="12" fillId="0" borderId="14" xfId="1" applyFont="1" applyBorder="1" applyAlignment="1">
      <alignment vertical="center" wrapText="1"/>
    </xf>
    <xf numFmtId="0" fontId="12" fillId="0" borderId="15" xfId="0" applyFont="1" applyBorder="1" applyAlignment="1">
      <alignment vertical="center" wrapText="1"/>
    </xf>
    <xf numFmtId="0" fontId="10" fillId="0" borderId="11" xfId="0" applyFont="1" applyBorder="1" applyAlignment="1">
      <alignment horizontal="left" vertical="center" wrapText="1" indent="1"/>
    </xf>
    <xf numFmtId="0" fontId="10" fillId="0" borderId="11" xfId="0" applyFont="1" applyBorder="1" applyAlignment="1">
      <alignment horizontal="left" vertical="center" wrapText="1" indent="2"/>
    </xf>
    <xf numFmtId="0" fontId="2" fillId="2" borderId="9" xfId="0" applyFont="1" applyFill="1" applyBorder="1" applyAlignment="1">
      <alignment horizontal="left" vertical="center" wrapText="1" indent="6"/>
    </xf>
    <xf numFmtId="0" fontId="2" fillId="2" borderId="3" xfId="0" applyFont="1" applyFill="1" applyBorder="1" applyAlignment="1">
      <alignment horizontal="left" vertical="center" wrapText="1" indent="6"/>
    </xf>
    <xf numFmtId="0" fontId="3" fillId="0" borderId="10" xfId="0" applyFont="1" applyBorder="1" applyAlignment="1">
      <alignment horizontal="left" vertical="center" wrapText="1" indent="1"/>
    </xf>
    <xf numFmtId="0" fontId="3" fillId="0" borderId="6" xfId="0" applyFont="1" applyBorder="1" applyAlignment="1">
      <alignment horizontal="left" vertical="center" wrapText="1" indent="1"/>
    </xf>
    <xf numFmtId="43" fontId="8" fillId="0" borderId="13" xfId="1" applyFont="1" applyBorder="1" applyAlignment="1">
      <alignment vertical="center" wrapText="1"/>
    </xf>
    <xf numFmtId="43" fontId="8" fillId="0" borderId="14" xfId="1" applyFont="1" applyBorder="1" applyAlignment="1">
      <alignment vertical="center" wrapText="1"/>
    </xf>
    <xf numFmtId="0" fontId="8" fillId="0" borderId="13" xfId="0" applyFont="1" applyBorder="1" applyAlignment="1">
      <alignment vertical="center" wrapText="1"/>
    </xf>
    <xf numFmtId="0" fontId="8" fillId="0" borderId="17" xfId="0" applyFont="1" applyBorder="1" applyAlignment="1">
      <alignment vertical="center" wrapText="1"/>
    </xf>
    <xf numFmtId="0" fontId="8" fillId="0" borderId="14" xfId="0" applyFont="1" applyBorder="1" applyAlignment="1">
      <alignment vertical="center" wrapText="1"/>
    </xf>
    <xf numFmtId="0" fontId="8" fillId="0" borderId="25" xfId="0" applyFont="1" applyBorder="1" applyAlignment="1">
      <alignment vertical="center" wrapText="1"/>
    </xf>
    <xf numFmtId="0" fontId="8" fillId="0" borderId="14" xfId="0" applyFont="1" applyBorder="1" applyAlignment="1">
      <alignment horizontal="center" vertical="center" wrapText="1"/>
    </xf>
    <xf numFmtId="0" fontId="8" fillId="0" borderId="16" xfId="0" applyFont="1" applyBorder="1" applyAlignment="1">
      <alignment vertical="center" wrapText="1"/>
    </xf>
    <xf numFmtId="43" fontId="8" fillId="0" borderId="24" xfId="1" applyFont="1" applyBorder="1" applyAlignment="1">
      <alignment vertical="center" wrapText="1"/>
    </xf>
    <xf numFmtId="43" fontId="8" fillId="0" borderId="25" xfId="1" applyFont="1" applyBorder="1" applyAlignment="1">
      <alignment vertical="center" wrapText="1"/>
    </xf>
    <xf numFmtId="4" fontId="11" fillId="0" borderId="11" xfId="0" applyNumberFormat="1" applyFont="1" applyBorder="1" applyAlignment="1">
      <alignment horizontal="right" vertical="center" wrapText="1"/>
    </xf>
    <xf numFmtId="0" fontId="12" fillId="0" borderId="24" xfId="0" applyFont="1" applyBorder="1" applyAlignment="1">
      <alignment vertical="center" wrapText="1"/>
    </xf>
    <xf numFmtId="0" fontId="6" fillId="0" borderId="25" xfId="0" applyFont="1" applyBorder="1" applyAlignment="1">
      <alignment horizontal="justify" vertical="center" wrapText="1"/>
    </xf>
    <xf numFmtId="0" fontId="6" fillId="0" borderId="16" xfId="0" applyFont="1" applyBorder="1" applyAlignment="1">
      <alignment horizontal="justify" vertical="center" wrapText="1"/>
    </xf>
    <xf numFmtId="0" fontId="6" fillId="0" borderId="19" xfId="0" applyFont="1" applyBorder="1" applyAlignment="1">
      <alignment horizontal="justify" vertical="center" wrapText="1"/>
    </xf>
    <xf numFmtId="0" fontId="8" fillId="0" borderId="23" xfId="0" applyFont="1" applyBorder="1" applyAlignment="1">
      <alignment vertical="center" wrapText="1"/>
    </xf>
    <xf numFmtId="0" fontId="6" fillId="0" borderId="11" xfId="0" applyFont="1" applyBorder="1" applyAlignment="1">
      <alignment horizontal="justify" vertical="center" wrapText="1"/>
    </xf>
    <xf numFmtId="0" fontId="6" fillId="0" borderId="25" xfId="0" applyFont="1" applyBorder="1" applyAlignment="1">
      <alignment horizontal="justify" vertical="top" wrapText="1"/>
    </xf>
    <xf numFmtId="0" fontId="6" fillId="0" borderId="16" xfId="0" applyFont="1" applyBorder="1" applyAlignment="1">
      <alignment horizontal="justify" vertical="top" wrapText="1"/>
    </xf>
    <xf numFmtId="0" fontId="6" fillId="0" borderId="19" xfId="0" applyFont="1" applyBorder="1" applyAlignment="1">
      <alignment horizontal="justify" vertical="top" wrapText="1"/>
    </xf>
    <xf numFmtId="0" fontId="6" fillId="0" borderId="13" xfId="0" applyFont="1" applyBorder="1" applyAlignment="1">
      <alignment horizontal="center" vertical="center" wrapText="1"/>
    </xf>
    <xf numFmtId="0" fontId="6" fillId="0" borderId="17" xfId="0" applyFont="1" applyBorder="1" applyAlignment="1">
      <alignment horizontal="center" vertical="center" wrapText="1"/>
    </xf>
    <xf numFmtId="14" fontId="6" fillId="0" borderId="18" xfId="0" applyNumberFormat="1" applyFont="1" applyBorder="1" applyAlignment="1">
      <alignment horizontal="center" vertical="center" wrapText="1"/>
    </xf>
    <xf numFmtId="14" fontId="6" fillId="0" borderId="23" xfId="0" applyNumberFormat="1" applyFont="1" applyBorder="1" applyAlignment="1">
      <alignment horizontal="center" vertical="center" wrapText="1"/>
    </xf>
    <xf numFmtId="4" fontId="6" fillId="0" borderId="13" xfId="0" applyNumberFormat="1" applyFont="1" applyBorder="1" applyAlignment="1">
      <alignment horizontal="center" vertical="center" wrapText="1"/>
    </xf>
    <xf numFmtId="4" fontId="6" fillId="0" borderId="17" xfId="0" applyNumberFormat="1" applyFont="1" applyBorder="1" applyAlignment="1">
      <alignment horizontal="center" vertical="center" wrapText="1"/>
    </xf>
    <xf numFmtId="0" fontId="4" fillId="0" borderId="14" xfId="0" applyFont="1" applyBorder="1" applyAlignment="1">
      <alignment horizontal="center" vertical="center" wrapText="1"/>
    </xf>
    <xf numFmtId="43" fontId="6" fillId="0" borderId="0" xfId="1" applyFont="1" applyBorder="1" applyAlignment="1">
      <alignment horizontal="center" vertical="center" wrapText="1"/>
    </xf>
    <xf numFmtId="14" fontId="11" fillId="0" borderId="11" xfId="0" applyNumberFormat="1" applyFont="1" applyBorder="1" applyAlignment="1">
      <alignment horizontal="center" vertical="center" wrapText="1"/>
    </xf>
    <xf numFmtId="0" fontId="19" fillId="0" borderId="0" xfId="0" applyFont="1" applyAlignment="1">
      <alignment horizontal="center"/>
    </xf>
    <xf numFmtId="0" fontId="0" fillId="0" borderId="0" xfId="0" applyAlignment="1">
      <alignment horizontal="right"/>
    </xf>
    <xf numFmtId="0" fontId="2" fillId="2" borderId="11" xfId="0" applyFont="1" applyFill="1" applyBorder="1" applyAlignment="1">
      <alignment horizontal="left" vertical="center" wrapText="1" indent="6"/>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12" xfId="0" applyFont="1" applyBorder="1" applyAlignment="1">
      <alignment horizontal="left" vertical="center" wrapText="1"/>
    </xf>
    <xf numFmtId="0" fontId="6" fillId="0" borderId="24" xfId="0" applyFont="1" applyBorder="1" applyAlignment="1">
      <alignment horizontal="left" vertical="center" wrapText="1"/>
    </xf>
    <xf numFmtId="0" fontId="6" fillId="0" borderId="23" xfId="0" applyFont="1" applyBorder="1" applyAlignment="1">
      <alignment horizontal="left" vertical="center" wrapText="1"/>
    </xf>
    <xf numFmtId="0" fontId="2" fillId="2" borderId="11" xfId="0" applyFont="1" applyFill="1" applyBorder="1" applyAlignment="1">
      <alignment horizontal="center" vertical="center" wrapText="1"/>
    </xf>
    <xf numFmtId="0" fontId="9" fillId="0" borderId="25" xfId="0" applyFont="1" applyBorder="1" applyAlignment="1">
      <alignment horizontal="justify" vertical="top" wrapText="1"/>
    </xf>
    <xf numFmtId="0" fontId="9" fillId="0" borderId="16" xfId="0" applyFont="1" applyBorder="1" applyAlignment="1">
      <alignment horizontal="justify" vertical="top" wrapText="1"/>
    </xf>
    <xf numFmtId="0" fontId="9" fillId="0" borderId="19" xfId="0" applyFont="1" applyBorder="1" applyAlignment="1">
      <alignment horizontal="justify" vertical="top" wrapText="1"/>
    </xf>
    <xf numFmtId="4" fontId="6" fillId="0" borderId="17" xfId="0" applyNumberFormat="1" applyFont="1" applyBorder="1" applyAlignment="1">
      <alignment horizontal="right" vertical="center" wrapText="1"/>
    </xf>
    <xf numFmtId="0" fontId="1" fillId="2" borderId="11" xfId="0" applyFont="1" applyFill="1" applyBorder="1" applyAlignment="1">
      <alignment horizontal="center" vertical="center" wrapText="1"/>
    </xf>
    <xf numFmtId="0" fontId="3" fillId="0" borderId="11" xfId="0" applyFont="1" applyBorder="1" applyAlignment="1">
      <alignment horizontal="left" vertical="center" wrapText="1"/>
    </xf>
    <xf numFmtId="43" fontId="10" fillId="0" borderId="11" xfId="1" applyFont="1" applyBorder="1" applyAlignment="1">
      <alignment horizontal="center" vertical="center" wrapText="1"/>
    </xf>
    <xf numFmtId="0" fontId="25" fillId="0" borderId="13" xfId="0" applyFont="1" applyBorder="1" applyAlignment="1">
      <alignment horizontal="center" vertical="center" wrapText="1"/>
    </xf>
    <xf numFmtId="0" fontId="25" fillId="0" borderId="17" xfId="0" applyFont="1" applyBorder="1" applyAlignment="1">
      <alignment horizontal="center" vertical="center" wrapText="1"/>
    </xf>
    <xf numFmtId="0" fontId="5" fillId="0" borderId="0" xfId="0" applyFont="1" applyBorder="1" applyAlignment="1">
      <alignment horizontal="center" vertical="center" wrapText="1"/>
    </xf>
    <xf numFmtId="0" fontId="12" fillId="0" borderId="0" xfId="0" applyFont="1" applyBorder="1" applyAlignment="1">
      <alignment vertical="center" wrapText="1"/>
    </xf>
    <xf numFmtId="0" fontId="6" fillId="0" borderId="0" xfId="0" applyFont="1" applyBorder="1" applyAlignment="1">
      <alignment horizontal="justify" vertical="center" wrapText="1"/>
    </xf>
    <xf numFmtId="0" fontId="0" fillId="0" borderId="0" xfId="0" applyBorder="1"/>
    <xf numFmtId="0" fontId="5" fillId="0" borderId="0" xfId="0" applyFont="1" applyBorder="1" applyAlignment="1">
      <alignment vertical="center" wrapText="1"/>
    </xf>
    <xf numFmtId="0" fontId="6" fillId="0" borderId="0" xfId="0" applyFont="1" applyBorder="1" applyAlignment="1">
      <alignment horizontal="center" vertical="center" wrapText="1"/>
    </xf>
    <xf numFmtId="0" fontId="0" fillId="0" borderId="0" xfId="0" applyBorder="1" applyAlignment="1">
      <alignment vertical="top" wrapText="1"/>
    </xf>
    <xf numFmtId="14" fontId="6" fillId="0" borderId="0" xfId="0" applyNumberFormat="1" applyFont="1" applyBorder="1" applyAlignment="1">
      <alignment horizontal="center" vertical="center" wrapText="1"/>
    </xf>
    <xf numFmtId="0" fontId="7" fillId="0" borderId="0" xfId="0" applyFont="1" applyBorder="1" applyAlignment="1">
      <alignment horizontal="center" vertical="center" wrapText="1"/>
    </xf>
    <xf numFmtId="0" fontId="0" fillId="0" borderId="0" xfId="0" applyBorder="1" applyAlignment="1">
      <alignment horizontal="center"/>
    </xf>
    <xf numFmtId="43" fontId="12" fillId="0" borderId="0" xfId="1" applyFont="1" applyBorder="1" applyAlignment="1">
      <alignment vertical="center" wrapText="1"/>
    </xf>
    <xf numFmtId="0" fontId="6" fillId="0" borderId="0" xfId="0" applyFont="1" applyBorder="1" applyAlignment="1">
      <alignment horizontal="justify" vertical="top" wrapText="1"/>
    </xf>
    <xf numFmtId="0" fontId="6" fillId="0" borderId="0" xfId="0" applyFont="1" applyBorder="1" applyAlignment="1">
      <alignment horizontal="justify" vertical="top" wrapText="1"/>
    </xf>
    <xf numFmtId="0" fontId="12" fillId="0" borderId="14" xfId="0" applyFont="1" applyBorder="1" applyAlignment="1">
      <alignment horizontal="center" vertical="center" wrapText="1"/>
    </xf>
    <xf numFmtId="0" fontId="6" fillId="0" borderId="0" xfId="0" applyFont="1" applyBorder="1" applyAlignment="1">
      <alignment horizontal="left" vertical="center" wrapText="1" indent="2"/>
    </xf>
    <xf numFmtId="0" fontId="6" fillId="0" borderId="0" xfId="0" applyFont="1" applyBorder="1" applyAlignment="1">
      <alignment vertical="center" wrapText="1"/>
    </xf>
    <xf numFmtId="43" fontId="13" fillId="0" borderId="0" xfId="1" applyFont="1" applyBorder="1" applyAlignment="1">
      <alignment horizontal="center" vertical="center" wrapText="1"/>
    </xf>
    <xf numFmtId="43" fontId="0" fillId="0" borderId="0" xfId="1" applyFont="1" applyBorder="1" applyAlignment="1">
      <alignment horizontal="center"/>
    </xf>
    <xf numFmtId="0" fontId="11" fillId="0" borderId="0" xfId="0" applyFont="1" applyBorder="1" applyAlignment="1">
      <alignment horizontal="right" vertical="center" wrapText="1"/>
    </xf>
    <xf numFmtId="0" fontId="11" fillId="0" borderId="0" xfId="0" applyFont="1" applyBorder="1" applyAlignment="1">
      <alignment horizontal="center" vertical="center" wrapText="1"/>
    </xf>
    <xf numFmtId="14" fontId="11" fillId="0" borderId="0" xfId="0" applyNumberFormat="1" applyFont="1" applyBorder="1" applyAlignment="1">
      <alignment horizontal="center" vertical="center" wrapText="1"/>
    </xf>
    <xf numFmtId="0" fontId="11" fillId="0" borderId="0" xfId="0" applyFont="1" applyBorder="1" applyAlignment="1">
      <alignment horizontal="left" vertical="center" wrapText="1" indent="1"/>
    </xf>
    <xf numFmtId="43" fontId="0" fillId="0" borderId="0" xfId="1" applyFont="1" applyBorder="1" applyAlignment="1">
      <alignment horizontal="center" vertical="top" wrapText="1"/>
    </xf>
    <xf numFmtId="0" fontId="9" fillId="2"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16" fillId="0" borderId="0" xfId="0" applyFont="1" applyBorder="1" applyAlignment="1">
      <alignment vertical="center" wrapText="1"/>
    </xf>
    <xf numFmtId="0" fontId="6" fillId="0" borderId="0" xfId="0" applyFont="1" applyBorder="1" applyAlignment="1">
      <alignment horizontal="left" vertical="center" wrapText="1" indent="2"/>
    </xf>
    <xf numFmtId="0" fontId="16" fillId="0" borderId="0" xfId="0" applyFont="1" applyBorder="1" applyAlignment="1">
      <alignment vertical="center" wrapText="1"/>
    </xf>
    <xf numFmtId="49" fontId="11" fillId="0" borderId="0" xfId="0" applyNumberFormat="1" applyFont="1" applyBorder="1" applyAlignment="1">
      <alignment vertical="center" wrapText="1"/>
    </xf>
    <xf numFmtId="14" fontId="11" fillId="0" borderId="0" xfId="0" applyNumberFormat="1" applyFont="1" applyBorder="1" applyAlignment="1">
      <alignment horizontal="right" vertical="center" wrapText="1"/>
    </xf>
    <xf numFmtId="4" fontId="11" fillId="0" borderId="0" xfId="0" applyNumberFormat="1" applyFont="1" applyBorder="1" applyAlignment="1">
      <alignment horizontal="right" vertical="center" wrapText="1"/>
    </xf>
    <xf numFmtId="0" fontId="0" fillId="0" borderId="0" xfId="0" applyBorder="1" applyAlignment="1">
      <alignment vertical="center" wrapText="1"/>
    </xf>
    <xf numFmtId="0" fontId="12" fillId="0" borderId="0" xfId="0" applyFont="1" applyBorder="1" applyAlignment="1">
      <alignment vertical="center" wrapText="1"/>
    </xf>
    <xf numFmtId="0" fontId="6" fillId="0" borderId="0" xfId="0" applyFont="1" applyBorder="1" applyAlignment="1">
      <alignment horizontal="justify" vertical="center" wrapText="1"/>
    </xf>
    <xf numFmtId="0" fontId="0" fillId="0" borderId="0" xfId="0" applyBorder="1" applyAlignment="1">
      <alignment vertical="center" wrapText="1"/>
    </xf>
    <xf numFmtId="0" fontId="25" fillId="0" borderId="14" xfId="0" applyFont="1" applyBorder="1" applyAlignment="1">
      <alignment horizontal="center" vertical="center" wrapText="1"/>
    </xf>
    <xf numFmtId="0" fontId="8" fillId="0" borderId="0" xfId="0" applyFont="1" applyBorder="1" applyAlignment="1">
      <alignment vertical="center" wrapText="1"/>
    </xf>
    <xf numFmtId="0" fontId="26" fillId="0" borderId="24" xfId="0" applyFont="1" applyBorder="1" applyAlignment="1">
      <alignment horizontal="justify" vertical="top" wrapText="1"/>
    </xf>
    <xf numFmtId="0" fontId="26" fillId="0" borderId="23" xfId="0" applyFont="1" applyBorder="1" applyAlignment="1">
      <alignment horizontal="justify" vertical="top" wrapText="1"/>
    </xf>
    <xf numFmtId="0" fontId="26" fillId="0" borderId="0" xfId="0" applyFont="1" applyBorder="1" applyAlignment="1">
      <alignment horizontal="justify" vertical="top" wrapText="1"/>
    </xf>
    <xf numFmtId="0" fontId="10" fillId="0" borderId="0" xfId="0" applyFont="1" applyBorder="1" applyAlignment="1">
      <alignment vertical="center" wrapText="1"/>
    </xf>
    <xf numFmtId="4" fontId="10" fillId="0" borderId="0" xfId="0" applyNumberFormat="1" applyFont="1" applyBorder="1" applyAlignment="1">
      <alignment vertical="center" wrapText="1"/>
    </xf>
    <xf numFmtId="0" fontId="8" fillId="0" borderId="0" xfId="0" applyFont="1" applyBorder="1" applyAlignment="1">
      <alignment vertical="center" wrapText="1"/>
    </xf>
    <xf numFmtId="0" fontId="22" fillId="0" borderId="0" xfId="0" applyFont="1" applyBorder="1" applyAlignment="1">
      <alignment vertical="center" wrapText="1"/>
    </xf>
    <xf numFmtId="0" fontId="11" fillId="0" borderId="0" xfId="0" applyFont="1" applyBorder="1" applyAlignment="1">
      <alignment vertical="center" wrapText="1"/>
    </xf>
    <xf numFmtId="0" fontId="21" fillId="0" borderId="0" xfId="0" applyFont="1" applyBorder="1" applyAlignment="1">
      <alignment vertical="center" wrapText="1"/>
    </xf>
    <xf numFmtId="0" fontId="27" fillId="0" borderId="26" xfId="0" applyFont="1" applyBorder="1" applyAlignment="1">
      <alignment horizontal="justify" vertical="center" wrapText="1"/>
    </xf>
    <xf numFmtId="0" fontId="27" fillId="0" borderId="21" xfId="0" applyFont="1" applyBorder="1" applyAlignment="1">
      <alignment horizontal="justify" vertical="center" wrapText="1"/>
    </xf>
    <xf numFmtId="0" fontId="27" fillId="0" borderId="12" xfId="0" applyFont="1" applyBorder="1" applyAlignment="1">
      <alignment horizontal="justify" vertical="center" wrapText="1"/>
    </xf>
    <xf numFmtId="0" fontId="19" fillId="0" borderId="22" xfId="0" applyFont="1" applyBorder="1" applyAlignment="1">
      <alignment horizontal="center"/>
    </xf>
    <xf numFmtId="0" fontId="19" fillId="0" borderId="15" xfId="0" applyFont="1" applyBorder="1" applyAlignment="1">
      <alignment horizontal="center"/>
    </xf>
    <xf numFmtId="0" fontId="19" fillId="0" borderId="18" xfId="0" applyFont="1" applyBorder="1" applyAlignment="1">
      <alignment horizontal="center"/>
    </xf>
    <xf numFmtId="0" fontId="19" fillId="0" borderId="24" xfId="0" applyFont="1" applyBorder="1" applyAlignment="1">
      <alignment horizontal="center"/>
    </xf>
    <xf numFmtId="0" fontId="19" fillId="0" borderId="0" xfId="0" applyFont="1" applyBorder="1" applyAlignment="1">
      <alignment horizontal="center"/>
    </xf>
    <xf numFmtId="0" fontId="19" fillId="0" borderId="23" xfId="0" applyFont="1" applyBorder="1" applyAlignment="1">
      <alignment horizontal="center"/>
    </xf>
    <xf numFmtId="0" fontId="28" fillId="0" borderId="0" xfId="0" applyFont="1" applyBorder="1" applyAlignment="1">
      <alignment horizontal="right"/>
    </xf>
    <xf numFmtId="0" fontId="28" fillId="0" borderId="23" xfId="0" applyFont="1" applyBorder="1" applyAlignment="1">
      <alignment horizontal="right"/>
    </xf>
    <xf numFmtId="0" fontId="0" fillId="0" borderId="0" xfId="0" applyBorder="1" applyAlignment="1">
      <alignment horizontal="right"/>
    </xf>
    <xf numFmtId="0" fontId="0" fillId="0" borderId="23" xfId="0" applyBorder="1" applyAlignment="1">
      <alignment horizontal="right"/>
    </xf>
    <xf numFmtId="0" fontId="3" fillId="0" borderId="0" xfId="0" applyFont="1" applyBorder="1" applyAlignment="1">
      <alignment vertical="center" wrapText="1"/>
    </xf>
    <xf numFmtId="0" fontId="6" fillId="0" borderId="0" xfId="0" applyFont="1" applyBorder="1" applyAlignment="1">
      <alignment horizontal="left" vertical="center" wrapText="1"/>
    </xf>
    <xf numFmtId="0" fontId="3" fillId="0" borderId="0" xfId="0" applyFont="1" applyBorder="1" applyAlignment="1">
      <alignment horizontal="left" vertical="center" wrapText="1" indent="1"/>
    </xf>
    <xf numFmtId="0" fontId="6" fillId="0" borderId="0" xfId="0" applyFont="1" applyBorder="1" applyAlignment="1">
      <alignment vertical="center" wrapText="1"/>
    </xf>
    <xf numFmtId="0" fontId="3" fillId="0" borderId="15" xfId="0" applyFont="1" applyBorder="1" applyAlignment="1">
      <alignment vertical="center" wrapText="1"/>
    </xf>
    <xf numFmtId="0" fontId="27" fillId="0" borderId="20" xfId="0" applyFont="1" applyBorder="1" applyAlignment="1">
      <alignment horizontal="justify" vertical="center" wrapText="1"/>
    </xf>
    <xf numFmtId="0" fontId="27" fillId="0" borderId="16" xfId="0" applyFont="1" applyBorder="1" applyAlignment="1">
      <alignment horizontal="justify" vertical="center" wrapText="1"/>
    </xf>
    <xf numFmtId="0" fontId="27" fillId="0" borderId="19" xfId="0" applyFont="1" applyBorder="1" applyAlignment="1">
      <alignment horizontal="justify" vertical="center" wrapText="1"/>
    </xf>
    <xf numFmtId="0" fontId="27" fillId="0" borderId="25" xfId="0" applyFont="1" applyBorder="1" applyAlignment="1">
      <alignment horizontal="left" vertical="center" wrapText="1"/>
    </xf>
    <xf numFmtId="0" fontId="27" fillId="0" borderId="21" xfId="0" applyFont="1" applyBorder="1" applyAlignment="1">
      <alignment horizontal="left" vertical="center" wrapText="1"/>
    </xf>
    <xf numFmtId="0" fontId="27" fillId="0" borderId="12" xfId="0" applyFont="1" applyBorder="1" applyAlignment="1">
      <alignment horizontal="left" vertical="center" wrapText="1"/>
    </xf>
    <xf numFmtId="0" fontId="27" fillId="0" borderId="20" xfId="0" applyFont="1" applyBorder="1" applyAlignment="1">
      <alignment horizontal="left" vertical="center" wrapText="1"/>
    </xf>
    <xf numFmtId="0" fontId="9" fillId="0" borderId="0" xfId="0" applyFont="1" applyBorder="1" applyAlignment="1">
      <alignment horizontal="justify" vertical="center" wrapText="1"/>
    </xf>
    <xf numFmtId="14" fontId="11" fillId="0" borderId="0" xfId="0" applyNumberFormat="1" applyFont="1" applyBorder="1" applyAlignment="1">
      <alignment horizontal="center" vertical="center" wrapText="1"/>
    </xf>
    <xf numFmtId="0" fontId="4" fillId="0" borderId="25" xfId="0" applyFont="1" applyBorder="1" applyAlignment="1">
      <alignment horizontal="center" vertical="center" wrapText="1"/>
    </xf>
    <xf numFmtId="0" fontId="27" fillId="0" borderId="11" xfId="0" applyFont="1" applyBorder="1" applyAlignment="1">
      <alignment horizontal="justify" vertical="center" wrapText="1"/>
    </xf>
    <xf numFmtId="0" fontId="27" fillId="0" borderId="25" xfId="0" applyFont="1" applyBorder="1" applyAlignment="1">
      <alignment horizontal="justify"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40E4-6A6F-4ACC-B81E-61FB5BEF1DED}">
  <dimension ref="A1:O229"/>
  <sheetViews>
    <sheetView view="pageBreakPreview" topLeftCell="A214" zoomScale="115" zoomScaleNormal="130" zoomScaleSheetLayoutView="115" workbookViewId="0">
      <selection activeCell="G12" sqref="G12:O12"/>
    </sheetView>
  </sheetViews>
  <sheetFormatPr baseColWidth="10" defaultRowHeight="15" x14ac:dyDescent="0.25"/>
  <cols>
    <col min="2" max="2" width="15.140625" customWidth="1"/>
    <col min="3" max="3" width="11.5703125" style="59"/>
    <col min="4" max="4" width="14.28515625" customWidth="1"/>
    <col min="5" max="5" width="17.7109375" style="99" customWidth="1"/>
    <col min="7" max="7" width="8.7109375" customWidth="1"/>
    <col min="9" max="9" width="11.5703125" customWidth="1"/>
    <col min="10" max="10" width="9.42578125" customWidth="1"/>
    <col min="11" max="11" width="10.42578125" customWidth="1"/>
    <col min="12" max="12" width="10.5703125" customWidth="1"/>
    <col min="13" max="14" width="8.7109375" customWidth="1"/>
    <col min="15" max="15" width="18.7109375" customWidth="1"/>
  </cols>
  <sheetData>
    <row r="1" spans="1:15" x14ac:dyDescent="0.25">
      <c r="A1" s="289" t="s">
        <v>321</v>
      </c>
      <c r="B1" s="289"/>
      <c r="C1" s="289"/>
      <c r="D1" s="289"/>
      <c r="E1" s="289"/>
      <c r="F1" s="289"/>
      <c r="G1" s="289"/>
      <c r="H1" s="289"/>
      <c r="I1" s="289"/>
      <c r="J1" s="289"/>
      <c r="K1" s="289"/>
      <c r="L1" s="289"/>
      <c r="M1" s="289"/>
      <c r="N1" s="289"/>
      <c r="O1" s="289"/>
    </row>
    <row r="2" spans="1:15" x14ac:dyDescent="0.25">
      <c r="A2" s="289" t="s">
        <v>322</v>
      </c>
      <c r="B2" s="289"/>
      <c r="C2" s="289"/>
      <c r="D2" s="289"/>
      <c r="E2" s="289"/>
      <c r="F2" s="289"/>
      <c r="G2" s="289"/>
      <c r="H2" s="289"/>
      <c r="I2" s="289"/>
      <c r="J2" s="289"/>
      <c r="K2" s="289"/>
      <c r="L2" s="289"/>
      <c r="M2" s="289"/>
      <c r="N2" s="289"/>
      <c r="O2" s="289"/>
    </row>
    <row r="3" spans="1:15" x14ac:dyDescent="0.25">
      <c r="A3" s="289" t="s">
        <v>323</v>
      </c>
      <c r="B3" s="289"/>
      <c r="C3" s="289"/>
      <c r="D3" s="289"/>
      <c r="E3" s="289"/>
      <c r="F3" s="289"/>
      <c r="G3" s="289"/>
      <c r="H3" s="289"/>
      <c r="I3" s="289"/>
      <c r="J3" s="289"/>
      <c r="K3" s="289"/>
      <c r="L3" s="289"/>
      <c r="M3" s="289"/>
      <c r="N3" s="289"/>
      <c r="O3" s="289"/>
    </row>
    <row r="4" spans="1:15" x14ac:dyDescent="0.25">
      <c r="A4" s="289" t="s">
        <v>324</v>
      </c>
      <c r="B4" s="289"/>
      <c r="C4" s="289"/>
      <c r="D4" s="289"/>
      <c r="E4" s="289"/>
      <c r="F4" s="289"/>
      <c r="G4" s="289"/>
      <c r="H4" s="289"/>
      <c r="I4" s="289"/>
      <c r="J4" s="289"/>
      <c r="K4" s="289"/>
      <c r="L4" s="289"/>
      <c r="M4" s="289"/>
      <c r="N4" s="289"/>
      <c r="O4" s="289"/>
    </row>
    <row r="6" spans="1:15" x14ac:dyDescent="0.25">
      <c r="A6" t="s">
        <v>371</v>
      </c>
      <c r="L6" s="290" t="s">
        <v>325</v>
      </c>
      <c r="M6" s="290"/>
      <c r="N6" s="290"/>
      <c r="O6" s="290"/>
    </row>
    <row r="7" spans="1:15" x14ac:dyDescent="0.25">
      <c r="A7" t="s">
        <v>327</v>
      </c>
      <c r="K7" s="290" t="s">
        <v>326</v>
      </c>
      <c r="L7" s="290"/>
      <c r="M7" s="290"/>
      <c r="N7" s="290"/>
      <c r="O7" s="290"/>
    </row>
    <row r="8" spans="1:15" ht="15.75" thickBot="1" x14ac:dyDescent="0.3"/>
    <row r="9" spans="1:15" ht="18.75" thickBot="1" x14ac:dyDescent="0.3">
      <c r="A9" s="248" t="s">
        <v>0</v>
      </c>
      <c r="B9" s="256" t="s">
        <v>1</v>
      </c>
      <c r="C9" s="257"/>
      <c r="D9" s="246" t="s">
        <v>2</v>
      </c>
      <c r="E9" s="95" t="s">
        <v>3</v>
      </c>
      <c r="F9" s="1" t="s">
        <v>5</v>
      </c>
      <c r="G9" s="242" t="s">
        <v>6</v>
      </c>
      <c r="H9" s="243"/>
      <c r="I9" s="243"/>
      <c r="J9" s="243"/>
      <c r="K9" s="243"/>
      <c r="L9" s="243"/>
      <c r="M9" s="243"/>
      <c r="N9" s="243"/>
      <c r="O9" s="243"/>
    </row>
    <row r="10" spans="1:15" ht="15" customHeight="1" thickBot="1" x14ac:dyDescent="0.3">
      <c r="A10" s="249"/>
      <c r="B10" s="2" t="s">
        <v>7</v>
      </c>
      <c r="C10" s="2" t="s">
        <v>8</v>
      </c>
      <c r="D10" s="247"/>
      <c r="E10" s="96" t="s">
        <v>4</v>
      </c>
      <c r="F10" s="2" t="s">
        <v>4</v>
      </c>
      <c r="G10" s="244"/>
      <c r="H10" s="245"/>
      <c r="I10" s="245"/>
      <c r="J10" s="245"/>
      <c r="K10" s="245"/>
      <c r="L10" s="245"/>
      <c r="M10" s="245"/>
      <c r="N10" s="245"/>
      <c r="O10" s="245"/>
    </row>
    <row r="11" spans="1:15" x14ac:dyDescent="0.25">
      <c r="A11" s="258" t="s">
        <v>9</v>
      </c>
      <c r="B11" s="259"/>
      <c r="C11" s="259"/>
      <c r="D11" s="259"/>
      <c r="E11" s="259"/>
      <c r="F11" s="259"/>
      <c r="G11" s="259"/>
      <c r="H11" s="259"/>
      <c r="I11" s="259"/>
      <c r="J11" s="259"/>
      <c r="K11" s="259"/>
      <c r="L11" s="259"/>
      <c r="M11" s="259"/>
      <c r="N11" s="259"/>
      <c r="O11" s="259"/>
    </row>
    <row r="12" spans="1:15" ht="91.15" customHeight="1" x14ac:dyDescent="0.25">
      <c r="A12" s="224">
        <v>1</v>
      </c>
      <c r="B12" s="16"/>
      <c r="C12" s="113"/>
      <c r="D12" s="11" t="s">
        <v>12</v>
      </c>
      <c r="E12" s="260"/>
      <c r="F12" s="262"/>
      <c r="G12" s="203" t="s">
        <v>35</v>
      </c>
      <c r="H12" s="203"/>
      <c r="I12" s="203"/>
      <c r="J12" s="203"/>
      <c r="K12" s="203"/>
      <c r="L12" s="203"/>
      <c r="M12" s="203"/>
      <c r="N12" s="203"/>
      <c r="O12" s="204"/>
    </row>
    <row r="13" spans="1:15" ht="26.45" customHeight="1" x14ac:dyDescent="0.25">
      <c r="A13" s="225"/>
      <c r="B13" s="311"/>
      <c r="C13" s="114"/>
      <c r="D13" s="309" t="s">
        <v>29</v>
      </c>
      <c r="E13" s="193"/>
      <c r="F13" s="263"/>
      <c r="G13" s="198" t="s">
        <v>13</v>
      </c>
      <c r="H13" s="218"/>
      <c r="I13" s="218"/>
      <c r="J13" s="218"/>
      <c r="K13" s="218"/>
      <c r="L13" s="218"/>
      <c r="M13" s="218"/>
      <c r="N13" s="218"/>
      <c r="O13" s="199"/>
    </row>
    <row r="14" spans="1:15" ht="19.5" x14ac:dyDescent="0.25">
      <c r="A14" s="225"/>
      <c r="B14" s="312" t="s">
        <v>10</v>
      </c>
      <c r="C14" s="51">
        <v>45846</v>
      </c>
      <c r="D14" s="309"/>
      <c r="E14" s="193"/>
      <c r="F14" s="263"/>
      <c r="G14" s="188" t="s">
        <v>14</v>
      </c>
      <c r="H14" s="254" t="s">
        <v>15</v>
      </c>
      <c r="I14" s="254" t="s">
        <v>16</v>
      </c>
      <c r="J14" s="255" t="s">
        <v>17</v>
      </c>
      <c r="K14" s="182" t="s">
        <v>18</v>
      </c>
      <c r="L14" s="182"/>
      <c r="M14" s="182" t="s">
        <v>19</v>
      </c>
      <c r="N14" s="182"/>
      <c r="O14" s="185" t="s">
        <v>20</v>
      </c>
    </row>
    <row r="15" spans="1:15" x14ac:dyDescent="0.25">
      <c r="A15" s="225"/>
      <c r="B15" s="311"/>
      <c r="C15" s="114"/>
      <c r="D15" s="309"/>
      <c r="E15" s="193"/>
      <c r="F15" s="263"/>
      <c r="G15" s="190"/>
      <c r="H15" s="254"/>
      <c r="I15" s="254"/>
      <c r="J15" s="255"/>
      <c r="K15" s="6" t="s">
        <v>21</v>
      </c>
      <c r="L15" s="6" t="s">
        <v>22</v>
      </c>
      <c r="M15" s="6" t="s">
        <v>21</v>
      </c>
      <c r="N15" s="6" t="s">
        <v>22</v>
      </c>
      <c r="O15" s="186"/>
    </row>
    <row r="16" spans="1:15" ht="46.9" customHeight="1" x14ac:dyDescent="0.25">
      <c r="A16" s="225"/>
      <c r="B16" s="312" t="s">
        <v>11</v>
      </c>
      <c r="C16" s="51">
        <v>45854</v>
      </c>
      <c r="D16" s="309"/>
      <c r="E16" s="193"/>
      <c r="F16" s="263"/>
      <c r="G16" s="3" t="s">
        <v>23</v>
      </c>
      <c r="H16" s="9" t="s">
        <v>30</v>
      </c>
      <c r="I16" s="7" t="s">
        <v>24</v>
      </c>
      <c r="J16" s="7">
        <v>3120</v>
      </c>
      <c r="K16" s="7">
        <v>780</v>
      </c>
      <c r="L16" s="7">
        <v>773</v>
      </c>
      <c r="M16" s="7">
        <v>780</v>
      </c>
      <c r="N16" s="7">
        <v>778</v>
      </c>
      <c r="O16" s="9" t="s">
        <v>36</v>
      </c>
    </row>
    <row r="17" spans="1:15" ht="37.15" customHeight="1" x14ac:dyDescent="0.25">
      <c r="A17" s="225"/>
      <c r="B17" s="313"/>
      <c r="C17" s="115"/>
      <c r="D17" s="309"/>
      <c r="E17" s="193"/>
      <c r="F17" s="263"/>
      <c r="G17" s="3" t="s">
        <v>23</v>
      </c>
      <c r="H17" s="9" t="s">
        <v>31</v>
      </c>
      <c r="I17" s="7" t="s">
        <v>25</v>
      </c>
      <c r="J17" s="7">
        <v>2520</v>
      </c>
      <c r="K17" s="7">
        <v>630</v>
      </c>
      <c r="L17" s="7">
        <v>514</v>
      </c>
      <c r="M17" s="7">
        <v>630</v>
      </c>
      <c r="N17" s="7">
        <v>623</v>
      </c>
      <c r="O17" s="9" t="s">
        <v>32</v>
      </c>
    </row>
    <row r="18" spans="1:15" ht="28.15" customHeight="1" x14ac:dyDescent="0.25">
      <c r="A18" s="225"/>
      <c r="B18" s="313"/>
      <c r="C18" s="115"/>
      <c r="D18" s="313"/>
      <c r="E18" s="193"/>
      <c r="F18" s="263"/>
      <c r="G18" s="3" t="s">
        <v>23</v>
      </c>
      <c r="H18" s="9" t="s">
        <v>33</v>
      </c>
      <c r="I18" s="7" t="s">
        <v>26</v>
      </c>
      <c r="J18" s="7">
        <v>17006578.460000001</v>
      </c>
      <c r="K18" s="7">
        <v>5076459.8499999996</v>
      </c>
      <c r="L18" s="7">
        <v>2875457.14</v>
      </c>
      <c r="M18" s="7">
        <v>4076242.61</v>
      </c>
      <c r="N18" s="7">
        <v>3052081.46</v>
      </c>
      <c r="O18" s="9" t="s">
        <v>32</v>
      </c>
    </row>
    <row r="19" spans="1:15" ht="118.5" customHeight="1" x14ac:dyDescent="0.25">
      <c r="A19" s="225"/>
      <c r="B19" s="12"/>
      <c r="C19" s="116"/>
      <c r="D19" s="12"/>
      <c r="E19" s="261"/>
      <c r="F19" s="264"/>
      <c r="G19" s="3" t="s">
        <v>23</v>
      </c>
      <c r="H19" s="9" t="s">
        <v>27</v>
      </c>
      <c r="I19" s="7" t="s">
        <v>28</v>
      </c>
      <c r="J19" s="8">
        <v>56</v>
      </c>
      <c r="K19" s="8">
        <v>14</v>
      </c>
      <c r="L19" s="8">
        <v>14</v>
      </c>
      <c r="M19" s="8">
        <v>16</v>
      </c>
      <c r="N19" s="8">
        <v>16</v>
      </c>
      <c r="O19" s="9" t="s">
        <v>34</v>
      </c>
    </row>
    <row r="20" spans="1:15" ht="61.5" customHeight="1" x14ac:dyDescent="0.25">
      <c r="A20" s="225"/>
      <c r="B20" s="22" t="s">
        <v>37</v>
      </c>
      <c r="C20" s="371" t="s">
        <v>38</v>
      </c>
      <c r="D20" s="354"/>
      <c r="E20" s="354"/>
      <c r="F20" s="354"/>
      <c r="G20" s="354"/>
      <c r="H20" s="354"/>
      <c r="I20" s="354"/>
      <c r="J20" s="354"/>
      <c r="K20" s="354"/>
      <c r="L20" s="354"/>
      <c r="M20" s="354"/>
      <c r="N20" s="354"/>
      <c r="O20" s="355"/>
    </row>
    <row r="21" spans="1:15" ht="55.5" customHeight="1" x14ac:dyDescent="0.25">
      <c r="A21" s="286"/>
      <c r="B21" s="22" t="s">
        <v>39</v>
      </c>
      <c r="C21" s="371" t="s">
        <v>377</v>
      </c>
      <c r="D21" s="354"/>
      <c r="E21" s="354"/>
      <c r="F21" s="354"/>
      <c r="G21" s="354"/>
      <c r="H21" s="354"/>
      <c r="I21" s="354"/>
      <c r="J21" s="354"/>
      <c r="K21" s="354"/>
      <c r="L21" s="354"/>
      <c r="M21" s="354"/>
      <c r="N21" s="354"/>
      <c r="O21" s="355"/>
    </row>
    <row r="22" spans="1:15" ht="94.15" customHeight="1" x14ac:dyDescent="0.25">
      <c r="A22" s="224">
        <v>2</v>
      </c>
      <c r="B22" s="18"/>
      <c r="C22" s="70"/>
      <c r="D22" s="33" t="s">
        <v>12</v>
      </c>
      <c r="E22" s="250"/>
      <c r="F22" s="253"/>
      <c r="G22" s="226" t="s">
        <v>40</v>
      </c>
      <c r="H22" s="203"/>
      <c r="I22" s="203"/>
      <c r="J22" s="203"/>
      <c r="K22" s="203"/>
      <c r="L22" s="203"/>
      <c r="M22" s="203"/>
      <c r="N22" s="203"/>
      <c r="O22" s="204"/>
    </row>
    <row r="23" spans="1:15" ht="13.9" customHeight="1" x14ac:dyDescent="0.25">
      <c r="A23" s="225"/>
      <c r="B23" s="27" t="s">
        <v>10</v>
      </c>
      <c r="C23" s="314">
        <v>45846</v>
      </c>
      <c r="D23" s="217" t="s">
        <v>53</v>
      </c>
      <c r="E23" s="251"/>
      <c r="F23" s="308"/>
      <c r="G23" s="37" t="s">
        <v>41</v>
      </c>
      <c r="H23" s="310"/>
      <c r="I23" s="310"/>
      <c r="J23" s="310"/>
      <c r="K23" s="310"/>
      <c r="L23" s="310"/>
      <c r="M23" s="310"/>
      <c r="N23" s="310"/>
      <c r="O23" s="25"/>
    </row>
    <row r="24" spans="1:15" ht="10.15" customHeight="1" x14ac:dyDescent="0.25">
      <c r="A24" s="225"/>
      <c r="B24" s="28"/>
      <c r="C24" s="315"/>
      <c r="D24" s="217"/>
      <c r="E24" s="251"/>
      <c r="F24" s="308"/>
      <c r="G24" s="38"/>
      <c r="H24" s="310"/>
      <c r="I24" s="310"/>
      <c r="J24" s="310"/>
      <c r="K24" s="310"/>
      <c r="L24" s="310"/>
      <c r="M24" s="310"/>
      <c r="N24" s="310"/>
      <c r="O24" s="25"/>
    </row>
    <row r="25" spans="1:15" ht="27.6" customHeight="1" x14ac:dyDescent="0.25">
      <c r="A25" s="225"/>
      <c r="B25" s="27" t="s">
        <v>11</v>
      </c>
      <c r="C25" s="314">
        <v>45854</v>
      </c>
      <c r="D25" s="217"/>
      <c r="E25" s="251"/>
      <c r="F25" s="308"/>
      <c r="G25" s="39"/>
      <c r="H25" s="310"/>
      <c r="I25" s="6" t="s">
        <v>44</v>
      </c>
      <c r="J25" s="6" t="s">
        <v>45</v>
      </c>
      <c r="K25" s="198" t="s">
        <v>46</v>
      </c>
      <c r="L25" s="218"/>
      <c r="M25" s="199"/>
      <c r="N25" s="10" t="s">
        <v>54</v>
      </c>
      <c r="O25" s="25"/>
    </row>
    <row r="26" spans="1:15" ht="31.9" customHeight="1" x14ac:dyDescent="0.25">
      <c r="A26" s="225"/>
      <c r="B26" s="19"/>
      <c r="C26" s="307"/>
      <c r="D26" s="217"/>
      <c r="E26" s="251"/>
      <c r="F26" s="308"/>
      <c r="G26" s="39"/>
      <c r="H26" s="310"/>
      <c r="I26" s="9" t="s">
        <v>47</v>
      </c>
      <c r="J26" s="23" t="s">
        <v>48</v>
      </c>
      <c r="K26" s="176" t="s">
        <v>49</v>
      </c>
      <c r="L26" s="176"/>
      <c r="M26" s="176"/>
      <c r="N26" s="41">
        <v>39083</v>
      </c>
      <c r="O26" s="25"/>
    </row>
    <row r="27" spans="1:15" ht="39.6" customHeight="1" x14ac:dyDescent="0.25">
      <c r="A27" s="225"/>
      <c r="B27" s="29"/>
      <c r="C27" s="316"/>
      <c r="D27" s="20"/>
      <c r="E27" s="251"/>
      <c r="F27" s="308"/>
      <c r="G27" s="39"/>
      <c r="H27" s="310"/>
      <c r="I27" s="9" t="s">
        <v>50</v>
      </c>
      <c r="J27" s="7" t="s">
        <v>51</v>
      </c>
      <c r="K27" s="176" t="s">
        <v>52</v>
      </c>
      <c r="L27" s="176"/>
      <c r="M27" s="176"/>
      <c r="N27" s="41">
        <v>39392</v>
      </c>
      <c r="O27" s="25"/>
    </row>
    <row r="28" spans="1:15" x14ac:dyDescent="0.25">
      <c r="A28" s="225"/>
      <c r="B28" s="29"/>
      <c r="C28" s="316"/>
      <c r="D28" s="21"/>
      <c r="E28" s="252"/>
      <c r="F28" s="308"/>
      <c r="G28" s="227" t="s">
        <v>42</v>
      </c>
      <c r="H28" s="240"/>
      <c r="I28" s="240"/>
      <c r="J28" s="240"/>
      <c r="K28" s="240"/>
      <c r="L28" s="240"/>
      <c r="M28" s="240"/>
      <c r="N28" s="240"/>
      <c r="O28" s="241"/>
    </row>
    <row r="29" spans="1:15" ht="51" customHeight="1" x14ac:dyDescent="0.25">
      <c r="A29" s="225"/>
      <c r="B29" s="40" t="s">
        <v>37</v>
      </c>
      <c r="C29" s="168" t="s">
        <v>43</v>
      </c>
      <c r="D29" s="169"/>
      <c r="E29" s="169"/>
      <c r="F29" s="169"/>
      <c r="G29" s="169"/>
      <c r="H29" s="169"/>
      <c r="I29" s="169"/>
      <c r="J29" s="169"/>
      <c r="K29" s="169"/>
      <c r="L29" s="169"/>
      <c r="M29" s="169"/>
      <c r="N29" s="169"/>
      <c r="O29" s="170"/>
    </row>
    <row r="30" spans="1:15" ht="48" customHeight="1" x14ac:dyDescent="0.25">
      <c r="A30" s="286"/>
      <c r="B30" s="22" t="s">
        <v>39</v>
      </c>
      <c r="C30" s="168" t="s">
        <v>372</v>
      </c>
      <c r="D30" s="169"/>
      <c r="E30" s="169"/>
      <c r="F30" s="169"/>
      <c r="G30" s="169"/>
      <c r="H30" s="169"/>
      <c r="I30" s="169"/>
      <c r="J30" s="169"/>
      <c r="K30" s="169"/>
      <c r="L30" s="169"/>
      <c r="M30" s="169"/>
      <c r="N30" s="169"/>
      <c r="O30" s="170"/>
    </row>
    <row r="31" spans="1:15" ht="82.15" customHeight="1" x14ac:dyDescent="0.25">
      <c r="A31" s="230">
        <v>3</v>
      </c>
      <c r="B31" s="47" t="s">
        <v>10</v>
      </c>
      <c r="C31" s="50">
        <v>45846</v>
      </c>
      <c r="D31" s="33" t="s">
        <v>12</v>
      </c>
      <c r="E31" s="236"/>
      <c r="F31" s="235"/>
      <c r="G31" s="237" t="s">
        <v>58</v>
      </c>
      <c r="H31" s="237"/>
      <c r="I31" s="237"/>
      <c r="J31" s="237"/>
      <c r="K31" s="237"/>
      <c r="L31" s="237"/>
      <c r="M31" s="237"/>
      <c r="N31" s="237"/>
      <c r="O31" s="238"/>
    </row>
    <row r="32" spans="1:15" ht="25.15" customHeight="1" x14ac:dyDescent="0.25">
      <c r="A32" s="231"/>
      <c r="B32" s="48" t="s">
        <v>55</v>
      </c>
      <c r="C32" s="51">
        <v>45904</v>
      </c>
      <c r="D32" s="217" t="s">
        <v>59</v>
      </c>
      <c r="E32" s="317"/>
      <c r="F32" s="221"/>
      <c r="G32" s="318" t="s">
        <v>56</v>
      </c>
      <c r="H32" s="318"/>
      <c r="I32" s="318"/>
      <c r="J32" s="318"/>
      <c r="K32" s="318"/>
      <c r="L32" s="318"/>
      <c r="M32" s="318"/>
      <c r="N32" s="318"/>
      <c r="O32" s="215"/>
    </row>
    <row r="33" spans="1:15" ht="15.6" customHeight="1" x14ac:dyDescent="0.25">
      <c r="A33" s="231"/>
      <c r="B33" s="48"/>
      <c r="C33" s="51"/>
      <c r="D33" s="217"/>
      <c r="E33" s="132"/>
      <c r="F33" s="31"/>
      <c r="G33" s="319"/>
      <c r="H33" s="319"/>
      <c r="I33" s="6" t="s">
        <v>0</v>
      </c>
      <c r="J33" s="182" t="s">
        <v>60</v>
      </c>
      <c r="K33" s="182"/>
      <c r="L33" s="182" t="s">
        <v>61</v>
      </c>
      <c r="M33" s="182"/>
      <c r="N33" s="319"/>
      <c r="O33" s="53"/>
    </row>
    <row r="34" spans="1:15" ht="15.6" customHeight="1" x14ac:dyDescent="0.25">
      <c r="A34" s="231"/>
      <c r="B34" s="48"/>
      <c r="C34" s="51"/>
      <c r="D34" s="217"/>
      <c r="E34" s="132"/>
      <c r="F34" s="31"/>
      <c r="G34" s="319"/>
      <c r="H34" s="319"/>
      <c r="I34" s="176">
        <v>1</v>
      </c>
      <c r="J34" s="180" t="s">
        <v>62</v>
      </c>
      <c r="K34" s="180"/>
      <c r="L34" s="176" t="s">
        <v>63</v>
      </c>
      <c r="M34" s="176"/>
      <c r="N34" s="319"/>
      <c r="O34" s="53"/>
    </row>
    <row r="35" spans="1:15" x14ac:dyDescent="0.25">
      <c r="A35" s="231"/>
      <c r="B35" s="48"/>
      <c r="C35" s="51"/>
      <c r="D35" s="217"/>
      <c r="E35" s="132"/>
      <c r="F35" s="31"/>
      <c r="G35" s="319"/>
      <c r="H35" s="319"/>
      <c r="I35" s="176"/>
      <c r="J35" s="180"/>
      <c r="K35" s="180"/>
      <c r="L35" s="176" t="s">
        <v>64</v>
      </c>
      <c r="M35" s="176"/>
      <c r="N35" s="319"/>
      <c r="O35" s="53"/>
    </row>
    <row r="36" spans="1:15" ht="14.45" customHeight="1" x14ac:dyDescent="0.25">
      <c r="A36" s="231"/>
      <c r="B36" s="48"/>
      <c r="C36" s="51"/>
      <c r="D36" s="217"/>
      <c r="E36" s="132"/>
      <c r="F36" s="31"/>
      <c r="G36" s="319"/>
      <c r="H36" s="319"/>
      <c r="I36" s="176">
        <v>2</v>
      </c>
      <c r="J36" s="180" t="s">
        <v>65</v>
      </c>
      <c r="K36" s="180"/>
      <c r="L36" s="176" t="s">
        <v>77</v>
      </c>
      <c r="M36" s="176"/>
      <c r="N36" s="319"/>
      <c r="O36" s="53"/>
    </row>
    <row r="37" spans="1:15" x14ac:dyDescent="0.25">
      <c r="A37" s="231"/>
      <c r="B37" s="48"/>
      <c r="C37" s="51"/>
      <c r="D37" s="34"/>
      <c r="E37" s="132"/>
      <c r="F37" s="31"/>
      <c r="G37" s="319"/>
      <c r="H37" s="319"/>
      <c r="I37" s="176"/>
      <c r="J37" s="180"/>
      <c r="K37" s="180"/>
      <c r="L37" s="176" t="s">
        <v>78</v>
      </c>
      <c r="M37" s="176"/>
      <c r="N37" s="319"/>
      <c r="O37" s="53"/>
    </row>
    <row r="38" spans="1:15" x14ac:dyDescent="0.25">
      <c r="A38" s="231"/>
      <c r="B38" s="48"/>
      <c r="C38" s="51"/>
      <c r="D38" s="34"/>
      <c r="E38" s="132"/>
      <c r="F38" s="31"/>
      <c r="G38" s="319"/>
      <c r="H38" s="319"/>
      <c r="I38" s="7">
        <v>3</v>
      </c>
      <c r="J38" s="180" t="s">
        <v>66</v>
      </c>
      <c r="K38" s="180"/>
      <c r="L38" s="176" t="s">
        <v>64</v>
      </c>
      <c r="M38" s="176"/>
      <c r="N38" s="319"/>
      <c r="O38" s="53"/>
    </row>
    <row r="39" spans="1:15" x14ac:dyDescent="0.25">
      <c r="A39" s="231"/>
      <c r="B39" s="48"/>
      <c r="C39" s="51"/>
      <c r="D39" s="34"/>
      <c r="E39" s="132"/>
      <c r="F39" s="31"/>
      <c r="G39" s="319"/>
      <c r="H39" s="319"/>
      <c r="I39" s="7">
        <v>4</v>
      </c>
      <c r="J39" s="180" t="s">
        <v>67</v>
      </c>
      <c r="K39" s="180"/>
      <c r="L39" s="176" t="s">
        <v>64</v>
      </c>
      <c r="M39" s="176"/>
      <c r="N39" s="319"/>
      <c r="O39" s="53"/>
    </row>
    <row r="40" spans="1:15" x14ac:dyDescent="0.25">
      <c r="A40" s="231"/>
      <c r="B40" s="48"/>
      <c r="C40" s="51"/>
      <c r="D40" s="34"/>
      <c r="E40" s="132"/>
      <c r="F40" s="31"/>
      <c r="G40" s="319"/>
      <c r="H40" s="319"/>
      <c r="I40" s="7">
        <v>5</v>
      </c>
      <c r="J40" s="180" t="s">
        <v>68</v>
      </c>
      <c r="K40" s="180"/>
      <c r="L40" s="176" t="s">
        <v>64</v>
      </c>
      <c r="M40" s="176"/>
      <c r="N40" s="319"/>
      <c r="O40" s="53"/>
    </row>
    <row r="41" spans="1:15" x14ac:dyDescent="0.25">
      <c r="A41" s="231"/>
      <c r="B41" s="48"/>
      <c r="C41" s="51"/>
      <c r="D41" s="34"/>
      <c r="E41" s="132"/>
      <c r="F41" s="31"/>
      <c r="G41" s="319"/>
      <c r="H41" s="319"/>
      <c r="I41" s="7">
        <v>6</v>
      </c>
      <c r="J41" s="180" t="s">
        <v>69</v>
      </c>
      <c r="K41" s="180"/>
      <c r="L41" s="176" t="s">
        <v>70</v>
      </c>
      <c r="M41" s="176"/>
      <c r="N41" s="319"/>
      <c r="O41" s="53"/>
    </row>
    <row r="42" spans="1:15" x14ac:dyDescent="0.25">
      <c r="A42" s="231"/>
      <c r="B42" s="48"/>
      <c r="C42" s="51"/>
      <c r="D42" s="34"/>
      <c r="E42" s="132"/>
      <c r="F42" s="31"/>
      <c r="G42" s="319"/>
      <c r="H42" s="319"/>
      <c r="I42" s="7">
        <v>7</v>
      </c>
      <c r="J42" s="180" t="s">
        <v>71</v>
      </c>
      <c r="K42" s="180"/>
      <c r="L42" s="176" t="s">
        <v>72</v>
      </c>
      <c r="M42" s="176"/>
      <c r="N42" s="319"/>
      <c r="O42" s="53"/>
    </row>
    <row r="43" spans="1:15" x14ac:dyDescent="0.25">
      <c r="A43" s="231"/>
      <c r="B43" s="48"/>
      <c r="C43" s="51"/>
      <c r="D43" s="34"/>
      <c r="E43" s="132"/>
      <c r="F43" s="31"/>
      <c r="G43" s="319"/>
      <c r="H43" s="319"/>
      <c r="I43" s="7">
        <v>8</v>
      </c>
      <c r="J43" s="180" t="s">
        <v>73</v>
      </c>
      <c r="K43" s="180"/>
      <c r="L43" s="176" t="s">
        <v>72</v>
      </c>
      <c r="M43" s="176"/>
      <c r="N43" s="319"/>
      <c r="O43" s="53"/>
    </row>
    <row r="44" spans="1:15" x14ac:dyDescent="0.25">
      <c r="A44" s="231"/>
      <c r="B44" s="48"/>
      <c r="C44" s="51"/>
      <c r="D44" s="34"/>
      <c r="E44" s="132"/>
      <c r="F44" s="31"/>
      <c r="G44" s="319"/>
      <c r="H44" s="319"/>
      <c r="I44" s="7">
        <v>9</v>
      </c>
      <c r="J44" s="180" t="s">
        <v>74</v>
      </c>
      <c r="K44" s="180"/>
      <c r="L44" s="176" t="s">
        <v>72</v>
      </c>
      <c r="M44" s="176"/>
      <c r="N44" s="319"/>
      <c r="O44" s="53"/>
    </row>
    <row r="45" spans="1:15" x14ac:dyDescent="0.25">
      <c r="A45" s="231"/>
      <c r="B45" s="48"/>
      <c r="C45" s="51"/>
      <c r="D45" s="34"/>
      <c r="E45" s="132"/>
      <c r="F45" s="31"/>
      <c r="G45" s="319"/>
      <c r="H45" s="319"/>
      <c r="I45" s="7">
        <v>10</v>
      </c>
      <c r="J45" s="180" t="s">
        <v>75</v>
      </c>
      <c r="K45" s="180"/>
      <c r="L45" s="176" t="s">
        <v>72</v>
      </c>
      <c r="M45" s="176"/>
      <c r="N45" s="319"/>
      <c r="O45" s="53"/>
    </row>
    <row r="46" spans="1:15" x14ac:dyDescent="0.25">
      <c r="A46" s="231"/>
      <c r="B46" s="49"/>
      <c r="C46" s="52"/>
      <c r="D46" s="46"/>
      <c r="E46" s="128"/>
      <c r="F46" s="46"/>
      <c r="G46" s="310"/>
      <c r="H46" s="310"/>
      <c r="I46" s="7">
        <v>11</v>
      </c>
      <c r="J46" s="180" t="s">
        <v>76</v>
      </c>
      <c r="K46" s="180"/>
      <c r="L46" s="176" t="s">
        <v>72</v>
      </c>
      <c r="M46" s="176"/>
      <c r="N46" s="310"/>
      <c r="O46" s="25"/>
    </row>
    <row r="47" spans="1:15" ht="34.15" customHeight="1" x14ac:dyDescent="0.25">
      <c r="A47" s="184"/>
      <c r="B47" s="45" t="s">
        <v>37</v>
      </c>
      <c r="C47" s="374" t="s">
        <v>57</v>
      </c>
      <c r="D47" s="375"/>
      <c r="E47" s="375"/>
      <c r="F47" s="375"/>
      <c r="G47" s="375"/>
      <c r="H47" s="375"/>
      <c r="I47" s="375"/>
      <c r="J47" s="375"/>
      <c r="K47" s="375"/>
      <c r="L47" s="375"/>
      <c r="M47" s="375"/>
      <c r="N47" s="375"/>
      <c r="O47" s="376"/>
    </row>
    <row r="48" spans="1:15" ht="39.75" customHeight="1" x14ac:dyDescent="0.25">
      <c r="A48" s="320"/>
      <c r="B48" s="22" t="s">
        <v>39</v>
      </c>
      <c r="C48" s="377" t="s">
        <v>378</v>
      </c>
      <c r="D48" s="375"/>
      <c r="E48" s="375"/>
      <c r="F48" s="375"/>
      <c r="G48" s="375"/>
      <c r="H48" s="375"/>
      <c r="I48" s="375"/>
      <c r="J48" s="375"/>
      <c r="K48" s="375"/>
      <c r="L48" s="375"/>
      <c r="M48" s="375"/>
      <c r="N48" s="375"/>
      <c r="O48" s="376"/>
    </row>
    <row r="49" spans="1:15" x14ac:dyDescent="0.25">
      <c r="A49" s="232" t="s">
        <v>79</v>
      </c>
      <c r="B49" s="233"/>
      <c r="C49" s="233"/>
      <c r="D49" s="233"/>
      <c r="E49" s="233"/>
      <c r="F49" s="233"/>
      <c r="G49" s="233"/>
      <c r="H49" s="233"/>
      <c r="I49" s="233"/>
      <c r="J49" s="233"/>
      <c r="K49" s="233"/>
      <c r="L49" s="233"/>
      <c r="M49" s="233"/>
      <c r="N49" s="233"/>
      <c r="O49" s="234"/>
    </row>
    <row r="50" spans="1:15" ht="76.150000000000006" customHeight="1" x14ac:dyDescent="0.25">
      <c r="A50" s="224">
        <v>4</v>
      </c>
      <c r="B50" s="311"/>
      <c r="C50" s="117"/>
      <c r="D50" s="33" t="s">
        <v>82</v>
      </c>
      <c r="E50" s="100"/>
      <c r="F50" s="235"/>
      <c r="G50" s="203" t="s">
        <v>83</v>
      </c>
      <c r="H50" s="203"/>
      <c r="I50" s="203"/>
      <c r="J50" s="203"/>
      <c r="K50" s="203"/>
      <c r="L50" s="203"/>
      <c r="M50" s="203"/>
      <c r="N50" s="203"/>
      <c r="O50" s="204"/>
    </row>
    <row r="51" spans="1:15" ht="22.9" customHeight="1" x14ac:dyDescent="0.25">
      <c r="A51" s="225"/>
      <c r="B51" s="321" t="s">
        <v>80</v>
      </c>
      <c r="C51" s="61">
        <v>45688</v>
      </c>
      <c r="D51" s="217" t="s">
        <v>88</v>
      </c>
      <c r="E51" s="167">
        <v>11190</v>
      </c>
      <c r="F51" s="221"/>
      <c r="G51" s="322" t="s">
        <v>84</v>
      </c>
      <c r="H51" s="310"/>
      <c r="I51" s="310"/>
      <c r="J51" s="310"/>
      <c r="K51" s="310"/>
      <c r="L51" s="310"/>
      <c r="M51" s="310"/>
      <c r="N51" s="310"/>
      <c r="O51" s="25"/>
    </row>
    <row r="52" spans="1:15" ht="22.9" customHeight="1" x14ac:dyDescent="0.25">
      <c r="A52" s="225"/>
      <c r="B52" s="321"/>
      <c r="C52" s="61"/>
      <c r="D52" s="217"/>
      <c r="E52" s="167"/>
      <c r="F52" s="221"/>
      <c r="G52" s="322"/>
      <c r="H52" s="6" t="s">
        <v>92</v>
      </c>
      <c r="I52" s="198" t="s">
        <v>93</v>
      </c>
      <c r="J52" s="218"/>
      <c r="K52" s="199"/>
      <c r="L52" s="6" t="s">
        <v>101</v>
      </c>
      <c r="M52" s="6" t="s">
        <v>94</v>
      </c>
      <c r="N52" s="6" t="s">
        <v>95</v>
      </c>
      <c r="O52" s="6" t="s">
        <v>96</v>
      </c>
    </row>
    <row r="53" spans="1:15" ht="22.9" customHeight="1" x14ac:dyDescent="0.25">
      <c r="A53" s="225"/>
      <c r="B53" s="321"/>
      <c r="C53" s="61"/>
      <c r="D53" s="217"/>
      <c r="E53" s="167"/>
      <c r="F53" s="221"/>
      <c r="G53" s="322"/>
      <c r="H53" s="7" t="s">
        <v>97</v>
      </c>
      <c r="I53" s="219" t="s">
        <v>102</v>
      </c>
      <c r="J53" s="219"/>
      <c r="K53" s="219"/>
      <c r="L53" s="41">
        <v>45688</v>
      </c>
      <c r="M53" s="176" t="s">
        <v>98</v>
      </c>
      <c r="N53" s="23" t="s">
        <v>104</v>
      </c>
      <c r="O53" s="55">
        <v>5595</v>
      </c>
    </row>
    <row r="54" spans="1:15" ht="22.9" customHeight="1" x14ac:dyDescent="0.25">
      <c r="A54" s="225"/>
      <c r="B54" s="321"/>
      <c r="C54" s="61"/>
      <c r="D54" s="217"/>
      <c r="E54" s="167"/>
      <c r="F54" s="221"/>
      <c r="G54" s="322"/>
      <c r="H54" s="7" t="s">
        <v>99</v>
      </c>
      <c r="I54" s="219" t="s">
        <v>103</v>
      </c>
      <c r="J54" s="219"/>
      <c r="K54" s="219"/>
      <c r="L54" s="41">
        <v>45715</v>
      </c>
      <c r="M54" s="176"/>
      <c r="N54" s="23" t="s">
        <v>104</v>
      </c>
      <c r="O54" s="55">
        <v>5495</v>
      </c>
    </row>
    <row r="55" spans="1:15" ht="18.600000000000001" customHeight="1" x14ac:dyDescent="0.25">
      <c r="A55" s="225"/>
      <c r="B55" s="321" t="s">
        <v>81</v>
      </c>
      <c r="C55" s="61">
        <v>45688</v>
      </c>
      <c r="D55" s="217" t="s">
        <v>89</v>
      </c>
      <c r="E55" s="167">
        <v>11190</v>
      </c>
      <c r="F55" s="221"/>
      <c r="G55" s="313"/>
      <c r="H55" s="220" t="s">
        <v>100</v>
      </c>
      <c r="I55" s="220"/>
      <c r="J55" s="220"/>
      <c r="K55" s="220"/>
      <c r="L55" s="220"/>
      <c r="M55" s="220"/>
      <c r="N55" s="220"/>
      <c r="O55" s="56">
        <f>+O53+O54</f>
        <v>11090</v>
      </c>
    </row>
    <row r="56" spans="1:15" ht="39" customHeight="1" x14ac:dyDescent="0.25">
      <c r="A56" s="225"/>
      <c r="B56" s="311"/>
      <c r="C56" s="118"/>
      <c r="D56" s="217"/>
      <c r="E56" s="323"/>
      <c r="F56" s="221"/>
      <c r="G56" s="313"/>
      <c r="H56" s="310"/>
      <c r="I56" s="310"/>
      <c r="J56" s="310"/>
      <c r="K56" s="310"/>
      <c r="L56" s="310"/>
      <c r="M56" s="310"/>
      <c r="N56" s="310"/>
      <c r="O56" s="25"/>
    </row>
    <row r="57" spans="1:15" ht="39" customHeight="1" x14ac:dyDescent="0.25">
      <c r="A57" s="225"/>
      <c r="B57" s="311"/>
      <c r="C57" s="118"/>
      <c r="D57" s="217"/>
      <c r="E57" s="323"/>
      <c r="F57" s="221"/>
      <c r="G57" s="313"/>
      <c r="H57" s="310"/>
      <c r="I57" s="310"/>
      <c r="J57" s="310"/>
      <c r="K57" s="310"/>
      <c r="L57" s="310"/>
      <c r="M57" s="310"/>
      <c r="N57" s="310"/>
      <c r="O57" s="25"/>
    </row>
    <row r="58" spans="1:15" ht="14.45" customHeight="1" x14ac:dyDescent="0.25">
      <c r="A58" s="225"/>
      <c r="B58" s="311"/>
      <c r="C58" s="118"/>
      <c r="D58" s="217"/>
      <c r="E58" s="323"/>
      <c r="F58" s="221"/>
      <c r="G58" s="313"/>
      <c r="H58" s="310"/>
      <c r="I58" s="310"/>
      <c r="J58" s="310"/>
      <c r="K58" s="310"/>
      <c r="L58" s="310"/>
      <c r="M58" s="310"/>
      <c r="N58" s="310"/>
      <c r="O58" s="25"/>
    </row>
    <row r="59" spans="1:15" x14ac:dyDescent="0.25">
      <c r="A59" s="225"/>
      <c r="B59" s="310"/>
      <c r="C59" s="119"/>
      <c r="D59" s="217"/>
      <c r="E59" s="324"/>
      <c r="F59" s="221"/>
      <c r="G59" s="313"/>
      <c r="H59" s="310"/>
      <c r="I59" s="310"/>
      <c r="J59" s="310"/>
      <c r="K59" s="310"/>
      <c r="L59" s="310"/>
      <c r="M59" s="310"/>
      <c r="N59" s="310"/>
      <c r="O59" s="25"/>
    </row>
    <row r="60" spans="1:15" ht="25.15" customHeight="1" x14ac:dyDescent="0.25">
      <c r="A60" s="225"/>
      <c r="B60" s="312" t="s">
        <v>85</v>
      </c>
      <c r="C60" s="61">
        <v>45715</v>
      </c>
      <c r="D60" s="217" t="s">
        <v>90</v>
      </c>
      <c r="E60" s="167">
        <v>10990</v>
      </c>
      <c r="F60" s="221"/>
      <c r="G60" s="308"/>
      <c r="H60" s="310"/>
      <c r="I60" s="310"/>
      <c r="J60" s="310"/>
      <c r="K60" s="310"/>
      <c r="L60" s="310"/>
      <c r="M60" s="310"/>
      <c r="N60" s="310"/>
      <c r="O60" s="25"/>
    </row>
    <row r="61" spans="1:15" ht="25.15" customHeight="1" x14ac:dyDescent="0.25">
      <c r="A61" s="225"/>
      <c r="B61" s="312"/>
      <c r="C61" s="61"/>
      <c r="D61" s="217"/>
      <c r="E61" s="167"/>
      <c r="F61" s="221"/>
      <c r="G61" s="308"/>
      <c r="H61" s="310"/>
      <c r="I61" s="310"/>
      <c r="J61" s="310"/>
      <c r="K61" s="310"/>
      <c r="L61" s="310"/>
      <c r="M61" s="310"/>
      <c r="N61" s="310"/>
      <c r="O61" s="25"/>
    </row>
    <row r="62" spans="1:15" ht="25.15" customHeight="1" x14ac:dyDescent="0.25">
      <c r="A62" s="225"/>
      <c r="B62" s="312"/>
      <c r="C62" s="61"/>
      <c r="D62" s="217"/>
      <c r="E62" s="167"/>
      <c r="F62" s="221"/>
      <c r="G62" s="308"/>
      <c r="H62" s="325"/>
      <c r="I62" s="326"/>
      <c r="J62" s="310"/>
      <c r="K62" s="310"/>
      <c r="L62" s="327"/>
      <c r="M62" s="313"/>
      <c r="N62" s="328"/>
      <c r="O62" s="62"/>
    </row>
    <row r="63" spans="1:15" x14ac:dyDescent="0.25">
      <c r="A63" s="225"/>
      <c r="B63" s="313"/>
      <c r="C63" s="120"/>
      <c r="D63" s="217"/>
      <c r="E63" s="329"/>
      <c r="F63" s="221"/>
      <c r="G63" s="308"/>
      <c r="H63" s="325"/>
      <c r="I63" s="326"/>
      <c r="J63" s="310"/>
      <c r="K63" s="310"/>
      <c r="L63" s="327"/>
      <c r="M63" s="313"/>
      <c r="N63" s="328"/>
      <c r="O63" s="62"/>
    </row>
    <row r="64" spans="1:15" ht="102.6" customHeight="1" x14ac:dyDescent="0.25">
      <c r="A64" s="225"/>
      <c r="B64" s="322" t="s">
        <v>86</v>
      </c>
      <c r="C64" s="121">
        <v>45715</v>
      </c>
      <c r="D64" s="69" t="s">
        <v>91</v>
      </c>
      <c r="E64" s="101">
        <v>10990</v>
      </c>
      <c r="F64" s="222"/>
      <c r="G64" s="223"/>
      <c r="H64" s="63"/>
      <c r="I64" s="64"/>
      <c r="J64" s="65"/>
      <c r="K64" s="65"/>
      <c r="L64" s="66"/>
      <c r="M64" s="12"/>
      <c r="N64" s="67"/>
      <c r="O64" s="68"/>
    </row>
    <row r="65" spans="1:15" ht="55.9" customHeight="1" x14ac:dyDescent="0.25">
      <c r="A65" s="225"/>
      <c r="B65" s="330" t="s">
        <v>37</v>
      </c>
      <c r="C65" s="168" t="s">
        <v>87</v>
      </c>
      <c r="D65" s="169"/>
      <c r="E65" s="169"/>
      <c r="F65" s="169"/>
      <c r="G65" s="169"/>
      <c r="H65" s="169"/>
      <c r="I65" s="169"/>
      <c r="J65" s="169"/>
      <c r="K65" s="169"/>
      <c r="L65" s="169"/>
      <c r="M65" s="169"/>
      <c r="N65" s="169"/>
      <c r="O65" s="170"/>
    </row>
    <row r="66" spans="1:15" ht="41.45" customHeight="1" x14ac:dyDescent="0.25">
      <c r="A66" s="286"/>
      <c r="B66" s="156" t="s">
        <v>39</v>
      </c>
      <c r="C66" s="239" t="s">
        <v>373</v>
      </c>
      <c r="D66" s="228"/>
      <c r="E66" s="228"/>
      <c r="F66" s="228"/>
      <c r="G66" s="228"/>
      <c r="H66" s="228"/>
      <c r="I66" s="228"/>
      <c r="J66" s="228"/>
      <c r="K66" s="228"/>
      <c r="L66" s="228"/>
      <c r="M66" s="228"/>
      <c r="N66" s="228"/>
      <c r="O66" s="229"/>
    </row>
    <row r="67" spans="1:15" ht="78" customHeight="1" x14ac:dyDescent="0.25">
      <c r="A67" s="305">
        <v>5</v>
      </c>
      <c r="B67" s="35"/>
      <c r="C67" s="42"/>
      <c r="D67" s="11" t="s">
        <v>130</v>
      </c>
      <c r="E67" s="97"/>
      <c r="F67" s="216"/>
      <c r="G67" s="211" t="s">
        <v>112</v>
      </c>
      <c r="H67" s="212"/>
      <c r="I67" s="212"/>
      <c r="J67" s="212"/>
      <c r="K67" s="212"/>
      <c r="L67" s="212"/>
      <c r="M67" s="212"/>
      <c r="N67" s="212"/>
      <c r="O67" s="213"/>
    </row>
    <row r="68" spans="1:15" ht="54" customHeight="1" x14ac:dyDescent="0.25">
      <c r="A68" s="306"/>
      <c r="B68" s="331" t="s">
        <v>105</v>
      </c>
      <c r="C68" s="205">
        <v>45769</v>
      </c>
      <c r="D68" s="309" t="s">
        <v>110</v>
      </c>
      <c r="E68" s="206">
        <v>124632.9</v>
      </c>
      <c r="F68" s="332"/>
      <c r="G68" s="214"/>
      <c r="H68" s="318"/>
      <c r="I68" s="318"/>
      <c r="J68" s="318"/>
      <c r="K68" s="318"/>
      <c r="L68" s="318"/>
      <c r="M68" s="318"/>
      <c r="N68" s="318"/>
      <c r="O68" s="215"/>
    </row>
    <row r="69" spans="1:15" ht="21.6" customHeight="1" x14ac:dyDescent="0.25">
      <c r="A69" s="306"/>
      <c r="B69" s="331"/>
      <c r="C69" s="205"/>
      <c r="D69" s="309"/>
      <c r="E69" s="206"/>
      <c r="F69" s="332"/>
      <c r="G69" s="214"/>
      <c r="H69" s="318"/>
      <c r="I69" s="318"/>
      <c r="J69" s="318"/>
      <c r="K69" s="318"/>
      <c r="L69" s="318"/>
      <c r="M69" s="318"/>
      <c r="N69" s="318"/>
      <c r="O69" s="215"/>
    </row>
    <row r="70" spans="1:15" ht="18" customHeight="1" x14ac:dyDescent="0.25">
      <c r="A70" s="306"/>
      <c r="B70" s="331" t="s">
        <v>106</v>
      </c>
      <c r="C70" s="205">
        <v>45705</v>
      </c>
      <c r="D70" s="309" t="s">
        <v>111</v>
      </c>
      <c r="E70" s="206">
        <v>124632.9</v>
      </c>
      <c r="F70" s="332"/>
      <c r="G70" s="214"/>
      <c r="H70" s="318"/>
      <c r="I70" s="318"/>
      <c r="J70" s="318"/>
      <c r="K70" s="318"/>
      <c r="L70" s="318"/>
      <c r="M70" s="318"/>
      <c r="N70" s="318"/>
      <c r="O70" s="215"/>
    </row>
    <row r="71" spans="1:15" ht="26.45" customHeight="1" x14ac:dyDescent="0.25">
      <c r="A71" s="306"/>
      <c r="B71" s="331"/>
      <c r="C71" s="205"/>
      <c r="D71" s="309"/>
      <c r="E71" s="206"/>
      <c r="F71" s="332"/>
      <c r="G71" s="58" t="s">
        <v>92</v>
      </c>
      <c r="H71" s="198" t="s">
        <v>113</v>
      </c>
      <c r="I71" s="199"/>
      <c r="J71" s="6" t="s">
        <v>114</v>
      </c>
      <c r="K71" s="5" t="s">
        <v>93</v>
      </c>
      <c r="L71" s="6" t="s">
        <v>101</v>
      </c>
      <c r="M71" s="6" t="s">
        <v>115</v>
      </c>
      <c r="N71" s="5" t="s">
        <v>116</v>
      </c>
      <c r="O71" s="6" t="s">
        <v>117</v>
      </c>
    </row>
    <row r="72" spans="1:15" ht="18" customHeight="1" x14ac:dyDescent="0.25">
      <c r="A72" s="306"/>
      <c r="B72" s="331"/>
      <c r="C72" s="205"/>
      <c r="D72" s="309"/>
      <c r="E72" s="206"/>
      <c r="F72" s="332"/>
      <c r="G72" s="7" t="s">
        <v>109</v>
      </c>
      <c r="H72" s="176" t="s">
        <v>119</v>
      </c>
      <c r="I72" s="176"/>
      <c r="J72" s="41">
        <v>45705</v>
      </c>
      <c r="K72" s="7" t="s">
        <v>118</v>
      </c>
      <c r="L72" s="41">
        <v>45769</v>
      </c>
      <c r="M72" s="55">
        <v>62316.44</v>
      </c>
      <c r="N72" s="7">
        <v>316.44</v>
      </c>
      <c r="O72" s="55">
        <v>62000</v>
      </c>
    </row>
    <row r="73" spans="1:15" ht="18" customHeight="1" x14ac:dyDescent="0.25">
      <c r="A73" s="306"/>
      <c r="B73" s="331"/>
      <c r="C73" s="205"/>
      <c r="D73" s="309"/>
      <c r="E73" s="206"/>
      <c r="F73" s="332"/>
      <c r="G73" s="7" t="s">
        <v>120</v>
      </c>
      <c r="H73" s="176" t="s">
        <v>123</v>
      </c>
      <c r="I73" s="176"/>
      <c r="J73" s="41">
        <v>45722</v>
      </c>
      <c r="K73" s="78" t="s">
        <v>126</v>
      </c>
      <c r="L73" s="24">
        <v>45769</v>
      </c>
      <c r="M73" s="79">
        <v>31158.22</v>
      </c>
      <c r="N73" s="54">
        <v>158.22</v>
      </c>
      <c r="O73" s="79">
        <v>31000</v>
      </c>
    </row>
    <row r="74" spans="1:15" ht="18" customHeight="1" x14ac:dyDescent="0.25">
      <c r="A74" s="306"/>
      <c r="B74" s="331"/>
      <c r="C74" s="205"/>
      <c r="D74" s="309"/>
      <c r="E74" s="206"/>
      <c r="F74" s="332"/>
      <c r="G74" s="7" t="s">
        <v>121</v>
      </c>
      <c r="H74" s="176" t="s">
        <v>124</v>
      </c>
      <c r="I74" s="176"/>
      <c r="J74" s="41">
        <v>45770</v>
      </c>
      <c r="K74" s="78" t="s">
        <v>127</v>
      </c>
      <c r="L74" s="24">
        <v>45771</v>
      </c>
      <c r="M74" s="79">
        <v>31158.22</v>
      </c>
      <c r="N74" s="54">
        <v>158.22</v>
      </c>
      <c r="O74" s="79">
        <v>31000</v>
      </c>
    </row>
    <row r="75" spans="1:15" ht="18" customHeight="1" x14ac:dyDescent="0.25">
      <c r="A75" s="306"/>
      <c r="B75" s="331"/>
      <c r="C75" s="205"/>
      <c r="D75" s="309"/>
      <c r="E75" s="206"/>
      <c r="F75" s="332"/>
      <c r="G75" s="7" t="s">
        <v>122</v>
      </c>
      <c r="H75" s="176" t="s">
        <v>125</v>
      </c>
      <c r="I75" s="176"/>
      <c r="J75" s="41">
        <v>45426</v>
      </c>
      <c r="K75" s="78" t="s">
        <v>128</v>
      </c>
      <c r="L75" s="24">
        <v>45798</v>
      </c>
      <c r="M75" s="79">
        <v>31158.22</v>
      </c>
      <c r="N75" s="54">
        <v>158.22</v>
      </c>
      <c r="O75" s="79">
        <v>31000</v>
      </c>
    </row>
    <row r="76" spans="1:15" x14ac:dyDescent="0.25">
      <c r="A76" s="306"/>
      <c r="B76" s="333" t="s">
        <v>107</v>
      </c>
      <c r="C76" s="205">
        <v>45769</v>
      </c>
      <c r="D76" s="309" t="s">
        <v>108</v>
      </c>
      <c r="E76" s="103">
        <v>62316.44</v>
      </c>
      <c r="F76" s="332"/>
      <c r="G76" s="200" t="s">
        <v>129</v>
      </c>
      <c r="H76" s="201"/>
      <c r="I76" s="201"/>
      <c r="J76" s="201"/>
      <c r="K76" s="201"/>
      <c r="L76" s="202"/>
      <c r="M76" s="80">
        <v>155791.1</v>
      </c>
      <c r="N76" s="58">
        <v>791.1</v>
      </c>
      <c r="O76" s="80">
        <v>155000</v>
      </c>
    </row>
    <row r="77" spans="1:15" x14ac:dyDescent="0.25">
      <c r="A77" s="306"/>
      <c r="B77" s="333"/>
      <c r="C77" s="205"/>
      <c r="D77" s="309"/>
      <c r="E77" s="103"/>
      <c r="F77" s="332"/>
      <c r="G77" s="38"/>
      <c r="H77" s="310"/>
      <c r="I77" s="310"/>
      <c r="J77" s="310"/>
      <c r="K77" s="310"/>
      <c r="L77" s="310"/>
      <c r="M77" s="310"/>
      <c r="N77" s="310"/>
      <c r="O77" s="25"/>
    </row>
    <row r="78" spans="1:15" x14ac:dyDescent="0.25">
      <c r="A78" s="306"/>
      <c r="B78" s="333"/>
      <c r="C78" s="205"/>
      <c r="D78" s="309"/>
      <c r="E78" s="103"/>
      <c r="F78" s="332"/>
      <c r="G78" s="38"/>
      <c r="H78" s="310"/>
      <c r="I78" s="310"/>
      <c r="J78" s="310"/>
      <c r="K78" s="310"/>
      <c r="L78" s="310"/>
      <c r="M78" s="310"/>
      <c r="N78" s="310"/>
      <c r="O78" s="25"/>
    </row>
    <row r="79" spans="1:15" ht="16.899999999999999" customHeight="1" x14ac:dyDescent="0.25">
      <c r="A79" s="306"/>
      <c r="B79" s="321" t="s">
        <v>131</v>
      </c>
      <c r="C79" s="51">
        <v>45722</v>
      </c>
      <c r="D79" s="309" t="s">
        <v>138</v>
      </c>
      <c r="E79" s="102">
        <v>62316.44</v>
      </c>
      <c r="F79" s="334"/>
      <c r="G79" s="38"/>
      <c r="H79" s="310"/>
      <c r="I79" s="310"/>
      <c r="J79" s="310"/>
      <c r="K79" s="310"/>
      <c r="L79" s="310"/>
      <c r="M79" s="310"/>
      <c r="N79" s="310"/>
      <c r="O79" s="25"/>
    </row>
    <row r="80" spans="1:15" x14ac:dyDescent="0.25">
      <c r="A80" s="306"/>
      <c r="B80" s="321"/>
      <c r="C80" s="51"/>
      <c r="D80" s="309"/>
      <c r="E80" s="103"/>
      <c r="F80" s="334"/>
      <c r="G80" s="38"/>
      <c r="H80" s="310"/>
      <c r="I80" s="310"/>
      <c r="J80" s="310"/>
      <c r="K80" s="310"/>
      <c r="L80" s="310"/>
      <c r="M80" s="310"/>
      <c r="N80" s="310"/>
      <c r="O80" s="25"/>
    </row>
    <row r="81" spans="1:15" x14ac:dyDescent="0.25">
      <c r="A81" s="306"/>
      <c r="B81" s="321"/>
      <c r="C81" s="51"/>
      <c r="D81" s="309"/>
      <c r="E81" s="103"/>
      <c r="F81" s="334"/>
      <c r="G81" s="38"/>
      <c r="H81" s="310"/>
      <c r="I81" s="310"/>
      <c r="J81" s="310"/>
      <c r="K81" s="310"/>
      <c r="L81" s="310"/>
      <c r="M81" s="310"/>
      <c r="N81" s="310"/>
      <c r="O81" s="25"/>
    </row>
    <row r="82" spans="1:15" x14ac:dyDescent="0.25">
      <c r="A82" s="306"/>
      <c r="B82" s="321"/>
      <c r="C82" s="51"/>
      <c r="D82" s="309"/>
      <c r="E82" s="103"/>
      <c r="F82" s="334"/>
      <c r="G82" s="76"/>
      <c r="H82" s="326"/>
      <c r="I82" s="326"/>
      <c r="J82" s="327"/>
      <c r="K82" s="335"/>
      <c r="L82" s="336"/>
      <c r="M82" s="337"/>
      <c r="N82" s="325"/>
      <c r="O82" s="72"/>
    </row>
    <row r="83" spans="1:15" x14ac:dyDescent="0.25">
      <c r="A83" s="306"/>
      <c r="B83" s="321"/>
      <c r="C83" s="51"/>
      <c r="D83" s="309"/>
      <c r="E83" s="103"/>
      <c r="F83" s="334"/>
      <c r="G83" s="76"/>
      <c r="H83" s="326"/>
      <c r="I83" s="326"/>
      <c r="J83" s="327"/>
      <c r="K83" s="335"/>
      <c r="L83" s="336"/>
      <c r="M83" s="337"/>
      <c r="N83" s="325"/>
      <c r="O83" s="72"/>
    </row>
    <row r="84" spans="1:15" x14ac:dyDescent="0.25">
      <c r="A84" s="306"/>
      <c r="B84" s="321"/>
      <c r="C84" s="51"/>
      <c r="D84" s="309"/>
      <c r="E84" s="103"/>
      <c r="F84" s="334"/>
      <c r="G84" s="76"/>
      <c r="H84" s="326"/>
      <c r="I84" s="326"/>
      <c r="J84" s="327"/>
      <c r="K84" s="335"/>
      <c r="L84" s="336"/>
      <c r="M84" s="337"/>
      <c r="N84" s="325"/>
      <c r="O84" s="72"/>
    </row>
    <row r="85" spans="1:15" ht="19.899999999999999" customHeight="1" x14ac:dyDescent="0.25">
      <c r="A85" s="306"/>
      <c r="B85" s="310"/>
      <c r="C85" s="122"/>
      <c r="D85" s="309"/>
      <c r="E85" s="104"/>
      <c r="F85" s="338"/>
      <c r="G85" s="38"/>
      <c r="H85" s="310"/>
      <c r="I85" s="310"/>
      <c r="J85" s="310"/>
      <c r="K85" s="310"/>
      <c r="L85" s="310"/>
      <c r="M85" s="310"/>
      <c r="N85" s="310"/>
      <c r="O85" s="25"/>
    </row>
    <row r="86" spans="1:15" x14ac:dyDescent="0.25">
      <c r="A86" s="306"/>
      <c r="B86" s="339"/>
      <c r="C86" s="43"/>
      <c r="D86" s="322"/>
      <c r="E86" s="98"/>
      <c r="F86" s="338"/>
      <c r="G86" s="38"/>
      <c r="H86" s="310"/>
      <c r="I86" s="310"/>
      <c r="J86" s="310"/>
      <c r="K86" s="310"/>
      <c r="L86" s="310"/>
      <c r="M86" s="310"/>
      <c r="N86" s="310"/>
      <c r="O86" s="25"/>
    </row>
    <row r="87" spans="1:15" ht="48.75" x14ac:dyDescent="0.25">
      <c r="A87" s="306"/>
      <c r="B87" s="321" t="s">
        <v>132</v>
      </c>
      <c r="C87" s="51">
        <v>45771</v>
      </c>
      <c r="D87" s="340" t="s">
        <v>139</v>
      </c>
      <c r="E87" s="102">
        <v>62316.44</v>
      </c>
      <c r="F87" s="338"/>
      <c r="G87" s="38"/>
      <c r="H87" s="310"/>
      <c r="I87" s="310"/>
      <c r="J87" s="310"/>
      <c r="K87" s="310"/>
      <c r="L87" s="310"/>
      <c r="M87" s="310"/>
      <c r="N87" s="310"/>
      <c r="O87" s="25"/>
    </row>
    <row r="88" spans="1:15" x14ac:dyDescent="0.25">
      <c r="A88" s="306"/>
      <c r="B88" s="310"/>
      <c r="C88" s="122"/>
      <c r="D88" s="313"/>
      <c r="E88" s="104"/>
      <c r="F88" s="341"/>
      <c r="G88" s="38"/>
      <c r="H88" s="310"/>
      <c r="I88" s="310"/>
      <c r="J88" s="310"/>
      <c r="K88" s="310"/>
      <c r="L88" s="310"/>
      <c r="M88" s="310"/>
      <c r="N88" s="310"/>
      <c r="O88" s="25"/>
    </row>
    <row r="89" spans="1:15" ht="58.5" x14ac:dyDescent="0.25">
      <c r="A89" s="306"/>
      <c r="B89" s="331" t="s">
        <v>133</v>
      </c>
      <c r="C89" s="205">
        <v>45770</v>
      </c>
      <c r="D89" s="340" t="s">
        <v>140</v>
      </c>
      <c r="E89" s="208">
        <v>62316.44</v>
      </c>
      <c r="F89" s="338"/>
      <c r="G89" s="38"/>
      <c r="H89" s="310"/>
      <c r="I89" s="310"/>
      <c r="J89" s="310"/>
      <c r="K89" s="310"/>
      <c r="L89" s="310"/>
      <c r="M89" s="310"/>
      <c r="N89" s="310"/>
      <c r="O89" s="25"/>
    </row>
    <row r="90" spans="1:15" x14ac:dyDescent="0.25">
      <c r="A90" s="306"/>
      <c r="B90" s="331"/>
      <c r="C90" s="205"/>
      <c r="D90" s="340"/>
      <c r="E90" s="208"/>
      <c r="F90" s="338"/>
      <c r="G90" s="38"/>
      <c r="H90" s="310"/>
      <c r="I90" s="310"/>
      <c r="J90" s="310"/>
      <c r="K90" s="310"/>
      <c r="L90" s="310"/>
      <c r="M90" s="310"/>
      <c r="N90" s="310"/>
      <c r="O90" s="25"/>
    </row>
    <row r="91" spans="1:15" ht="48.75" x14ac:dyDescent="0.25">
      <c r="A91" s="306"/>
      <c r="B91" s="312" t="s">
        <v>134</v>
      </c>
      <c r="C91" s="51">
        <v>45798</v>
      </c>
      <c r="D91" s="340" t="s">
        <v>141</v>
      </c>
      <c r="E91" s="105">
        <v>62316.44</v>
      </c>
      <c r="F91" s="341"/>
      <c r="G91" s="38"/>
      <c r="H91" s="310"/>
      <c r="I91" s="310"/>
      <c r="J91" s="310"/>
      <c r="K91" s="310"/>
      <c r="L91" s="310"/>
      <c r="M91" s="310"/>
      <c r="N91" s="310"/>
      <c r="O91" s="25"/>
    </row>
    <row r="92" spans="1:15" x14ac:dyDescent="0.25">
      <c r="A92" s="306"/>
      <c r="B92" s="312"/>
      <c r="C92" s="51"/>
      <c r="D92" s="340" t="s">
        <v>370</v>
      </c>
      <c r="E92" s="105"/>
      <c r="F92" s="341"/>
      <c r="G92" s="38"/>
      <c r="H92" s="310"/>
      <c r="I92" s="310"/>
      <c r="J92" s="310"/>
      <c r="K92" s="310"/>
      <c r="L92" s="310"/>
      <c r="M92" s="310"/>
      <c r="N92" s="310"/>
      <c r="O92" s="25"/>
    </row>
    <row r="93" spans="1:15" ht="29.25" x14ac:dyDescent="0.25">
      <c r="A93" s="306"/>
      <c r="B93" s="331" t="s">
        <v>135</v>
      </c>
      <c r="C93" s="205">
        <v>45791</v>
      </c>
      <c r="D93" s="340" t="s">
        <v>136</v>
      </c>
      <c r="E93" s="208">
        <v>62316.44</v>
      </c>
      <c r="F93" s="338"/>
      <c r="G93" s="38"/>
      <c r="H93" s="310"/>
      <c r="I93" s="310"/>
      <c r="J93" s="310"/>
      <c r="K93" s="310"/>
      <c r="L93" s="310"/>
      <c r="M93" s="310"/>
      <c r="N93" s="310"/>
      <c r="O93" s="25"/>
    </row>
    <row r="94" spans="1:15" ht="39.75" customHeight="1" x14ac:dyDescent="0.25">
      <c r="A94" s="306"/>
      <c r="B94" s="331"/>
      <c r="C94" s="207"/>
      <c r="D94" s="322" t="s">
        <v>137</v>
      </c>
      <c r="E94" s="209"/>
      <c r="F94" s="338"/>
      <c r="G94" s="49"/>
      <c r="H94" s="65"/>
      <c r="I94" s="65"/>
      <c r="J94" s="65"/>
      <c r="K94" s="65"/>
      <c r="L94" s="65"/>
      <c r="M94" s="65"/>
      <c r="N94" s="65"/>
      <c r="O94" s="77"/>
    </row>
    <row r="95" spans="1:15" ht="51.75" customHeight="1" x14ac:dyDescent="0.25">
      <c r="A95" s="306"/>
      <c r="B95" s="73" t="s">
        <v>37</v>
      </c>
      <c r="C95" s="354" t="s">
        <v>142</v>
      </c>
      <c r="D95" s="354"/>
      <c r="E95" s="354"/>
      <c r="F95" s="354"/>
      <c r="G95" s="354"/>
      <c r="H95" s="354"/>
      <c r="I95" s="354"/>
      <c r="J95" s="354"/>
      <c r="K95" s="354"/>
      <c r="L95" s="354"/>
      <c r="M95" s="354"/>
      <c r="N95" s="354"/>
      <c r="O95" s="355"/>
    </row>
    <row r="96" spans="1:15" ht="42.75" customHeight="1" x14ac:dyDescent="0.25">
      <c r="A96" s="342"/>
      <c r="B96" s="147" t="s">
        <v>39</v>
      </c>
      <c r="C96" s="377" t="s">
        <v>385</v>
      </c>
      <c r="D96" s="375"/>
      <c r="E96" s="375"/>
      <c r="F96" s="375"/>
      <c r="G96" s="375"/>
      <c r="H96" s="375"/>
      <c r="I96" s="375"/>
      <c r="J96" s="375"/>
      <c r="K96" s="375"/>
      <c r="L96" s="375"/>
      <c r="M96" s="375"/>
      <c r="N96" s="375"/>
      <c r="O96" s="376"/>
    </row>
    <row r="97" spans="1:15" ht="49.9" customHeight="1" x14ac:dyDescent="0.25">
      <c r="A97" s="172">
        <v>6</v>
      </c>
      <c r="B97" s="60"/>
      <c r="C97" s="113"/>
      <c r="D97" s="11" t="s">
        <v>145</v>
      </c>
      <c r="E97" s="106"/>
      <c r="F97" s="183"/>
      <c r="G97" s="203" t="s">
        <v>165</v>
      </c>
      <c r="H97" s="203"/>
      <c r="I97" s="203"/>
      <c r="J97" s="203"/>
      <c r="K97" s="203"/>
      <c r="L97" s="203"/>
      <c r="M97" s="203"/>
      <c r="N97" s="203"/>
      <c r="O97" s="204"/>
    </row>
    <row r="98" spans="1:15" ht="68.45" customHeight="1" x14ac:dyDescent="0.25">
      <c r="A98" s="173"/>
      <c r="B98" s="48" t="s">
        <v>143</v>
      </c>
      <c r="C98" s="51">
        <v>45751</v>
      </c>
      <c r="D98" s="340" t="s">
        <v>164</v>
      </c>
      <c r="E98" s="102">
        <v>46390.1</v>
      </c>
      <c r="F98" s="184"/>
      <c r="G98" s="309"/>
      <c r="H98" s="309"/>
      <c r="I98" s="309"/>
      <c r="J98" s="309"/>
      <c r="K98" s="309"/>
      <c r="L98" s="309"/>
      <c r="M98" s="309"/>
      <c r="N98" s="309"/>
      <c r="O98" s="171"/>
    </row>
    <row r="99" spans="1:15" ht="24.6" customHeight="1" x14ac:dyDescent="0.25">
      <c r="A99" s="173"/>
      <c r="B99" s="48" t="s">
        <v>144</v>
      </c>
      <c r="C99" s="51">
        <v>45736</v>
      </c>
      <c r="D99" s="309" t="s">
        <v>166</v>
      </c>
      <c r="E99" s="102">
        <v>46390.1</v>
      </c>
      <c r="F99" s="184"/>
      <c r="G99" s="378" t="s">
        <v>41</v>
      </c>
      <c r="H99" s="378"/>
      <c r="I99" s="378"/>
      <c r="J99" s="378"/>
      <c r="K99" s="378"/>
      <c r="L99" s="378"/>
      <c r="M99" s="378"/>
      <c r="N99" s="378"/>
      <c r="O99" s="197"/>
    </row>
    <row r="100" spans="1:15" x14ac:dyDescent="0.25">
      <c r="A100" s="173"/>
      <c r="B100" s="39"/>
      <c r="C100" s="114"/>
      <c r="D100" s="309"/>
      <c r="E100" s="107"/>
      <c r="F100" s="184"/>
      <c r="G100" s="308"/>
      <c r="H100" s="308"/>
      <c r="I100" s="308"/>
      <c r="J100" s="308"/>
      <c r="K100" s="308"/>
      <c r="L100" s="308"/>
      <c r="M100" s="308"/>
      <c r="N100" s="308"/>
      <c r="O100" s="196"/>
    </row>
    <row r="101" spans="1:15" x14ac:dyDescent="0.25">
      <c r="A101" s="173"/>
      <c r="B101" s="39"/>
      <c r="C101" s="114"/>
      <c r="D101" s="309"/>
      <c r="E101" s="107"/>
      <c r="F101" s="184"/>
      <c r="G101" s="310"/>
      <c r="H101" s="310"/>
      <c r="I101" s="310"/>
      <c r="J101" s="310"/>
      <c r="K101" s="310"/>
      <c r="L101" s="310"/>
      <c r="M101" s="310"/>
      <c r="N101" s="310"/>
      <c r="O101" s="25"/>
    </row>
    <row r="102" spans="1:15" ht="21.6" customHeight="1" x14ac:dyDescent="0.25">
      <c r="A102" s="173"/>
      <c r="B102" s="81" t="s">
        <v>146</v>
      </c>
      <c r="C102" s="51">
        <v>45806</v>
      </c>
      <c r="D102" s="210" t="s">
        <v>169</v>
      </c>
      <c r="E102" s="102">
        <v>28304.880000000001</v>
      </c>
      <c r="F102" s="184"/>
      <c r="G102" s="343"/>
      <c r="H102" s="310"/>
      <c r="I102" s="310"/>
      <c r="J102" s="310"/>
      <c r="K102" s="310"/>
      <c r="L102" s="310"/>
      <c r="M102" s="310"/>
      <c r="N102" s="310"/>
      <c r="O102" s="77"/>
    </row>
    <row r="103" spans="1:15" x14ac:dyDescent="0.25">
      <c r="A103" s="173"/>
      <c r="B103" s="81"/>
      <c r="C103" s="51"/>
      <c r="D103" s="210"/>
      <c r="E103" s="102"/>
      <c r="F103" s="184"/>
      <c r="G103" s="343"/>
      <c r="H103" s="185" t="s">
        <v>92</v>
      </c>
      <c r="I103" s="185" t="s">
        <v>148</v>
      </c>
      <c r="J103" s="185" t="s">
        <v>167</v>
      </c>
      <c r="K103" s="185" t="s">
        <v>168</v>
      </c>
      <c r="L103" s="185" t="s">
        <v>149</v>
      </c>
      <c r="M103" s="187" t="s">
        <v>150</v>
      </c>
      <c r="N103" s="188"/>
      <c r="O103" s="185" t="s">
        <v>96</v>
      </c>
    </row>
    <row r="104" spans="1:15" x14ac:dyDescent="0.25">
      <c r="A104" s="173"/>
      <c r="B104" s="81"/>
      <c r="C104" s="51"/>
      <c r="D104" s="210"/>
      <c r="E104" s="102"/>
      <c r="F104" s="184"/>
      <c r="G104" s="343"/>
      <c r="H104" s="186"/>
      <c r="I104" s="186"/>
      <c r="J104" s="186"/>
      <c r="K104" s="186"/>
      <c r="L104" s="186"/>
      <c r="M104" s="189"/>
      <c r="N104" s="190"/>
      <c r="O104" s="186"/>
    </row>
    <row r="105" spans="1:15" ht="15" customHeight="1" x14ac:dyDescent="0.25">
      <c r="A105" s="173"/>
      <c r="B105" s="82"/>
      <c r="C105" s="123"/>
      <c r="D105" s="340"/>
      <c r="E105" s="108"/>
      <c r="F105" s="184"/>
      <c r="G105" s="343"/>
      <c r="H105" s="182" t="s">
        <v>151</v>
      </c>
      <c r="I105" s="182"/>
      <c r="J105" s="182"/>
      <c r="K105" s="182"/>
      <c r="L105" s="182"/>
      <c r="M105" s="182"/>
      <c r="N105" s="182"/>
      <c r="O105" s="182"/>
    </row>
    <row r="106" spans="1:15" ht="34.15" customHeight="1" x14ac:dyDescent="0.25">
      <c r="A106" s="173"/>
      <c r="B106" s="81" t="s">
        <v>147</v>
      </c>
      <c r="C106" s="51">
        <v>45784</v>
      </c>
      <c r="D106" s="318" t="s">
        <v>170</v>
      </c>
      <c r="E106" s="102">
        <v>28304.880000000001</v>
      </c>
      <c r="F106" s="184"/>
      <c r="G106" s="343"/>
      <c r="H106" s="176" t="s">
        <v>152</v>
      </c>
      <c r="I106" s="194" t="s">
        <v>171</v>
      </c>
      <c r="J106" s="379">
        <v>45751</v>
      </c>
      <c r="K106" s="194" t="s">
        <v>153</v>
      </c>
      <c r="L106" s="44">
        <v>15</v>
      </c>
      <c r="M106" s="195" t="s">
        <v>172</v>
      </c>
      <c r="N106" s="195"/>
      <c r="O106" s="84">
        <v>1070.0999999999999</v>
      </c>
    </row>
    <row r="107" spans="1:15" ht="33.6" customHeight="1" x14ac:dyDescent="0.25">
      <c r="A107" s="173"/>
      <c r="B107" s="39"/>
      <c r="C107" s="114"/>
      <c r="D107" s="318"/>
      <c r="E107" s="107"/>
      <c r="F107" s="184"/>
      <c r="G107" s="343"/>
      <c r="H107" s="176"/>
      <c r="I107" s="176"/>
      <c r="J107" s="379"/>
      <c r="K107" s="176"/>
      <c r="L107" s="7">
        <v>15</v>
      </c>
      <c r="M107" s="180" t="s">
        <v>175</v>
      </c>
      <c r="N107" s="180"/>
      <c r="O107" s="54">
        <v>936.12</v>
      </c>
    </row>
    <row r="108" spans="1:15" ht="29.45" customHeight="1" x14ac:dyDescent="0.25">
      <c r="A108" s="173"/>
      <c r="B108" s="38"/>
      <c r="C108" s="122"/>
      <c r="D108" s="318"/>
      <c r="E108" s="104"/>
      <c r="F108" s="184"/>
      <c r="G108" s="343"/>
      <c r="H108" s="176"/>
      <c r="I108" s="176"/>
      <c r="J108" s="379"/>
      <c r="K108" s="176"/>
      <c r="L108" s="7">
        <v>10</v>
      </c>
      <c r="M108" s="180" t="s">
        <v>174</v>
      </c>
      <c r="N108" s="180"/>
      <c r="O108" s="79">
        <v>1769</v>
      </c>
    </row>
    <row r="109" spans="1:15" ht="35.450000000000003" customHeight="1" x14ac:dyDescent="0.25">
      <c r="A109" s="173"/>
      <c r="B109" s="26"/>
      <c r="C109" s="115"/>
      <c r="D109" s="318"/>
      <c r="E109" s="109"/>
      <c r="F109" s="184"/>
      <c r="G109" s="343"/>
      <c r="H109" s="176"/>
      <c r="I109" s="176"/>
      <c r="J109" s="379"/>
      <c r="K109" s="176"/>
      <c r="L109" s="7">
        <v>50</v>
      </c>
      <c r="M109" s="180" t="s">
        <v>173</v>
      </c>
      <c r="N109" s="180"/>
      <c r="O109" s="79">
        <v>9019</v>
      </c>
    </row>
    <row r="110" spans="1:15" ht="26.45" customHeight="1" x14ac:dyDescent="0.25">
      <c r="A110" s="173"/>
      <c r="B110" s="26"/>
      <c r="C110" s="115"/>
      <c r="D110" s="318"/>
      <c r="E110" s="109"/>
      <c r="F110" s="184"/>
      <c r="G110" s="343"/>
      <c r="H110" s="176"/>
      <c r="I110" s="176"/>
      <c r="J110" s="379"/>
      <c r="K110" s="176"/>
      <c r="L110" s="7">
        <v>5</v>
      </c>
      <c r="M110" s="180" t="s">
        <v>176</v>
      </c>
      <c r="N110" s="180"/>
      <c r="O110" s="79">
        <v>1148.4000000000001</v>
      </c>
    </row>
    <row r="111" spans="1:15" ht="49.15" customHeight="1" x14ac:dyDescent="0.25">
      <c r="A111" s="173"/>
      <c r="B111" s="26"/>
      <c r="C111" s="115"/>
      <c r="D111" s="313"/>
      <c r="E111" s="109"/>
      <c r="F111" s="184"/>
      <c r="G111" s="343"/>
      <c r="H111" s="176"/>
      <c r="I111" s="176"/>
      <c r="J111" s="379"/>
      <c r="K111" s="176"/>
      <c r="L111" s="7">
        <v>3</v>
      </c>
      <c r="M111" s="180" t="s">
        <v>199</v>
      </c>
      <c r="N111" s="180"/>
      <c r="O111" s="54">
        <v>491.03</v>
      </c>
    </row>
    <row r="112" spans="1:15" ht="38.450000000000003" customHeight="1" x14ac:dyDescent="0.25">
      <c r="A112" s="173"/>
      <c r="B112" s="26"/>
      <c r="C112" s="115"/>
      <c r="D112" s="313"/>
      <c r="E112" s="109"/>
      <c r="F112" s="184"/>
      <c r="G112" s="343"/>
      <c r="H112" s="176"/>
      <c r="I112" s="176"/>
      <c r="J112" s="379"/>
      <c r="K112" s="176"/>
      <c r="L112" s="7">
        <v>30</v>
      </c>
      <c r="M112" s="180" t="s">
        <v>177</v>
      </c>
      <c r="N112" s="180"/>
      <c r="O112" s="79">
        <v>4287.3599999999997</v>
      </c>
    </row>
    <row r="113" spans="1:15" ht="21" customHeight="1" x14ac:dyDescent="0.25">
      <c r="A113" s="173"/>
      <c r="B113" s="26"/>
      <c r="C113" s="115"/>
      <c r="D113" s="313"/>
      <c r="E113" s="109"/>
      <c r="F113" s="184"/>
      <c r="G113" s="343"/>
      <c r="H113" s="176"/>
      <c r="I113" s="176"/>
      <c r="J113" s="379"/>
      <c r="K113" s="176"/>
      <c r="L113" s="176">
        <v>23</v>
      </c>
      <c r="M113" s="180" t="s">
        <v>155</v>
      </c>
      <c r="N113" s="180"/>
      <c r="O113" s="270">
        <v>3028.18</v>
      </c>
    </row>
    <row r="114" spans="1:15" x14ac:dyDescent="0.25">
      <c r="A114" s="173"/>
      <c r="B114" s="26"/>
      <c r="C114" s="115"/>
      <c r="D114" s="313"/>
      <c r="E114" s="109"/>
      <c r="F114" s="184"/>
      <c r="G114" s="343"/>
      <c r="H114" s="176"/>
      <c r="I114" s="176"/>
      <c r="J114" s="379"/>
      <c r="K114" s="176"/>
      <c r="L114" s="176"/>
      <c r="M114" s="180" t="s">
        <v>156</v>
      </c>
      <c r="N114" s="180"/>
      <c r="O114" s="270"/>
    </row>
    <row r="115" spans="1:15" x14ac:dyDescent="0.25">
      <c r="A115" s="173"/>
      <c r="B115" s="26"/>
      <c r="C115" s="115"/>
      <c r="D115" s="313"/>
      <c r="E115" s="109"/>
      <c r="F115" s="184"/>
      <c r="G115" s="343"/>
      <c r="H115" s="176"/>
      <c r="I115" s="176"/>
      <c r="J115" s="379"/>
      <c r="K115" s="176"/>
      <c r="L115" s="57"/>
      <c r="M115" s="180" t="s">
        <v>157</v>
      </c>
      <c r="N115" s="180"/>
      <c r="O115" s="57"/>
    </row>
    <row r="116" spans="1:15" x14ac:dyDescent="0.25">
      <c r="A116" s="173"/>
      <c r="B116" s="26"/>
      <c r="C116" s="115"/>
      <c r="D116" s="313"/>
      <c r="E116" s="109"/>
      <c r="F116" s="184"/>
      <c r="G116" s="343"/>
      <c r="H116" s="176"/>
      <c r="I116" s="176"/>
      <c r="J116" s="379"/>
      <c r="K116" s="176"/>
      <c r="L116" s="7">
        <v>3</v>
      </c>
      <c r="M116" s="180" t="s">
        <v>158</v>
      </c>
      <c r="N116" s="180"/>
      <c r="O116" s="54">
        <v>372.36</v>
      </c>
    </row>
    <row r="117" spans="1:15" ht="26.45" customHeight="1" x14ac:dyDescent="0.25">
      <c r="A117" s="173"/>
      <c r="B117" s="26"/>
      <c r="C117" s="115"/>
      <c r="D117" s="313"/>
      <c r="E117" s="109"/>
      <c r="F117" s="184"/>
      <c r="G117" s="343"/>
      <c r="H117" s="176"/>
      <c r="I117" s="176"/>
      <c r="J117" s="379"/>
      <c r="K117" s="176"/>
      <c r="L117" s="7">
        <v>15</v>
      </c>
      <c r="M117" s="180" t="s">
        <v>178</v>
      </c>
      <c r="N117" s="180"/>
      <c r="O117" s="54">
        <v>267.95999999999998</v>
      </c>
    </row>
    <row r="118" spans="1:15" ht="26.45" customHeight="1" x14ac:dyDescent="0.25">
      <c r="A118" s="173"/>
      <c r="B118" s="26"/>
      <c r="C118" s="115"/>
      <c r="D118" s="313"/>
      <c r="E118" s="109"/>
      <c r="F118" s="184"/>
      <c r="G118" s="343"/>
      <c r="H118" s="176"/>
      <c r="I118" s="176"/>
      <c r="J118" s="379"/>
      <c r="K118" s="176"/>
      <c r="L118" s="7">
        <v>10</v>
      </c>
      <c r="M118" s="180" t="s">
        <v>179</v>
      </c>
      <c r="N118" s="180"/>
      <c r="O118" s="54">
        <v>302.76</v>
      </c>
    </row>
    <row r="119" spans="1:15" ht="26.45" customHeight="1" x14ac:dyDescent="0.25">
      <c r="A119" s="173"/>
      <c r="B119" s="26"/>
      <c r="C119" s="115"/>
      <c r="D119" s="313"/>
      <c r="E119" s="109"/>
      <c r="F119" s="184"/>
      <c r="G119" s="343"/>
      <c r="H119" s="176"/>
      <c r="I119" s="176"/>
      <c r="J119" s="379"/>
      <c r="K119" s="176"/>
      <c r="L119" s="7">
        <v>1</v>
      </c>
      <c r="M119" s="180" t="s">
        <v>180</v>
      </c>
      <c r="N119" s="180"/>
      <c r="O119" s="54">
        <v>50.46</v>
      </c>
    </row>
    <row r="120" spans="1:15" ht="26.45" customHeight="1" x14ac:dyDescent="0.25">
      <c r="A120" s="173"/>
      <c r="B120" s="26"/>
      <c r="C120" s="115"/>
      <c r="D120" s="313"/>
      <c r="E120" s="109"/>
      <c r="F120" s="184"/>
      <c r="G120" s="343"/>
      <c r="H120" s="176"/>
      <c r="I120" s="176"/>
      <c r="J120" s="379"/>
      <c r="K120" s="176"/>
      <c r="L120" s="7">
        <v>4</v>
      </c>
      <c r="M120" s="180" t="s">
        <v>181</v>
      </c>
      <c r="N120" s="180"/>
      <c r="O120" s="54">
        <v>88.16</v>
      </c>
    </row>
    <row r="121" spans="1:15" ht="26.45" customHeight="1" x14ac:dyDescent="0.25">
      <c r="A121" s="173"/>
      <c r="B121" s="191"/>
      <c r="C121" s="192"/>
      <c r="D121" s="343"/>
      <c r="E121" s="193"/>
      <c r="F121" s="184"/>
      <c r="G121" s="343"/>
      <c r="H121" s="176"/>
      <c r="I121" s="176"/>
      <c r="J121" s="379"/>
      <c r="K121" s="176"/>
      <c r="L121" s="7">
        <v>5</v>
      </c>
      <c r="M121" s="180" t="s">
        <v>182</v>
      </c>
      <c r="N121" s="180"/>
      <c r="O121" s="54">
        <v>78.88</v>
      </c>
    </row>
    <row r="122" spans="1:15" ht="26.45" customHeight="1" x14ac:dyDescent="0.25">
      <c r="A122" s="173"/>
      <c r="B122" s="191"/>
      <c r="C122" s="192"/>
      <c r="D122" s="343"/>
      <c r="E122" s="193"/>
      <c r="F122" s="184"/>
      <c r="G122" s="343"/>
      <c r="H122" s="176"/>
      <c r="I122" s="176"/>
      <c r="J122" s="379"/>
      <c r="K122" s="176"/>
      <c r="L122" s="7">
        <v>3</v>
      </c>
      <c r="M122" s="180" t="s">
        <v>183</v>
      </c>
      <c r="N122" s="180"/>
      <c r="O122" s="54">
        <v>150.72</v>
      </c>
    </row>
    <row r="123" spans="1:15" ht="26.45" customHeight="1" x14ac:dyDescent="0.25">
      <c r="A123" s="173"/>
      <c r="B123" s="191"/>
      <c r="C123" s="192"/>
      <c r="D123" s="343"/>
      <c r="E123" s="193"/>
      <c r="F123" s="184"/>
      <c r="G123" s="343"/>
      <c r="H123" s="176"/>
      <c r="I123" s="176"/>
      <c r="J123" s="379"/>
      <c r="K123" s="176"/>
      <c r="L123" s="7">
        <v>5</v>
      </c>
      <c r="M123" s="180" t="s">
        <v>184</v>
      </c>
      <c r="N123" s="180"/>
      <c r="O123" s="54">
        <v>134.56</v>
      </c>
    </row>
    <row r="124" spans="1:15" x14ac:dyDescent="0.25">
      <c r="A124" s="173"/>
      <c r="B124" s="191"/>
      <c r="C124" s="192"/>
      <c r="D124" s="343"/>
      <c r="E124" s="193"/>
      <c r="F124" s="184"/>
      <c r="G124" s="343"/>
      <c r="H124" s="174" t="s">
        <v>159</v>
      </c>
      <c r="I124" s="174"/>
      <c r="J124" s="174"/>
      <c r="K124" s="174"/>
      <c r="L124" s="174"/>
      <c r="M124" s="174"/>
      <c r="N124" s="174"/>
      <c r="O124" s="80">
        <v>23195.05</v>
      </c>
    </row>
    <row r="125" spans="1:15" ht="15" customHeight="1" x14ac:dyDescent="0.25">
      <c r="A125" s="173"/>
      <c r="B125" s="191"/>
      <c r="C125" s="192"/>
      <c r="D125" s="343"/>
      <c r="E125" s="193"/>
      <c r="F125" s="184"/>
      <c r="G125" s="343"/>
      <c r="H125" s="182" t="s">
        <v>160</v>
      </c>
      <c r="I125" s="182"/>
      <c r="J125" s="182"/>
      <c r="K125" s="182"/>
      <c r="L125" s="182"/>
      <c r="M125" s="182"/>
      <c r="N125" s="182"/>
      <c r="O125" s="182"/>
    </row>
    <row r="126" spans="1:15" ht="15.6" customHeight="1" x14ac:dyDescent="0.25">
      <c r="A126" s="173"/>
      <c r="B126" s="191"/>
      <c r="C126" s="192"/>
      <c r="D126" s="343"/>
      <c r="E126" s="193"/>
      <c r="F126" s="184"/>
      <c r="G126" s="343"/>
      <c r="H126" s="176" t="s">
        <v>161</v>
      </c>
      <c r="I126" s="176" t="s">
        <v>185</v>
      </c>
      <c r="J126" s="177">
        <v>45806</v>
      </c>
      <c r="K126" s="176" t="s">
        <v>162</v>
      </c>
      <c r="L126" s="57"/>
      <c r="M126" s="180" t="s">
        <v>154</v>
      </c>
      <c r="N126" s="180"/>
      <c r="O126" s="57"/>
    </row>
    <row r="127" spans="1:15" x14ac:dyDescent="0.25">
      <c r="A127" s="173"/>
      <c r="B127" s="191"/>
      <c r="C127" s="192"/>
      <c r="D127" s="343"/>
      <c r="E127" s="193"/>
      <c r="F127" s="184"/>
      <c r="G127" s="343"/>
      <c r="H127" s="176"/>
      <c r="I127" s="176"/>
      <c r="J127" s="178"/>
      <c r="K127" s="176"/>
      <c r="L127" s="7">
        <v>15</v>
      </c>
      <c r="M127" s="180" t="s">
        <v>163</v>
      </c>
      <c r="N127" s="180"/>
      <c r="O127" s="79">
        <v>1366.33</v>
      </c>
    </row>
    <row r="128" spans="1:15" ht="25.9" customHeight="1" x14ac:dyDescent="0.25">
      <c r="A128" s="173"/>
      <c r="B128" s="191"/>
      <c r="C128" s="192"/>
      <c r="D128" s="343"/>
      <c r="E128" s="193"/>
      <c r="F128" s="184"/>
      <c r="G128" s="343"/>
      <c r="H128" s="176"/>
      <c r="I128" s="176"/>
      <c r="J128" s="178"/>
      <c r="K128" s="176"/>
      <c r="L128" s="7">
        <v>15</v>
      </c>
      <c r="M128" s="180" t="s">
        <v>186</v>
      </c>
      <c r="N128" s="180"/>
      <c r="O128" s="79">
        <v>1884.77</v>
      </c>
    </row>
    <row r="129" spans="1:15" ht="25.9" customHeight="1" x14ac:dyDescent="0.25">
      <c r="A129" s="173"/>
      <c r="B129" s="191"/>
      <c r="C129" s="192"/>
      <c r="D129" s="343"/>
      <c r="E129" s="193"/>
      <c r="F129" s="184"/>
      <c r="G129" s="343"/>
      <c r="H129" s="176"/>
      <c r="I129" s="176"/>
      <c r="J129" s="178"/>
      <c r="K129" s="176"/>
      <c r="L129" s="7">
        <v>10</v>
      </c>
      <c r="M129" s="180" t="s">
        <v>187</v>
      </c>
      <c r="N129" s="180"/>
      <c r="O129" s="79">
        <v>1376.2</v>
      </c>
    </row>
    <row r="130" spans="1:15" ht="35.450000000000003" customHeight="1" x14ac:dyDescent="0.25">
      <c r="A130" s="173"/>
      <c r="B130" s="191"/>
      <c r="C130" s="192"/>
      <c r="D130" s="343"/>
      <c r="E130" s="193"/>
      <c r="F130" s="184"/>
      <c r="G130" s="343"/>
      <c r="H130" s="176"/>
      <c r="I130" s="176"/>
      <c r="J130" s="178"/>
      <c r="K130" s="176"/>
      <c r="L130" s="7">
        <v>5</v>
      </c>
      <c r="M130" s="180" t="s">
        <v>188</v>
      </c>
      <c r="N130" s="180"/>
      <c r="O130" s="54">
        <v>927.47</v>
      </c>
    </row>
    <row r="131" spans="1:15" ht="25.9" customHeight="1" x14ac:dyDescent="0.25">
      <c r="A131" s="173"/>
      <c r="B131" s="191"/>
      <c r="C131" s="192"/>
      <c r="D131" s="343"/>
      <c r="E131" s="193"/>
      <c r="F131" s="184"/>
      <c r="G131" s="343"/>
      <c r="H131" s="176"/>
      <c r="I131" s="176"/>
      <c r="J131" s="178"/>
      <c r="K131" s="176"/>
      <c r="L131" s="7">
        <v>20</v>
      </c>
      <c r="M131" s="180" t="s">
        <v>189</v>
      </c>
      <c r="N131" s="180"/>
      <c r="O131" s="54">
        <v>903.54</v>
      </c>
    </row>
    <row r="132" spans="1:15" ht="25.9" customHeight="1" x14ac:dyDescent="0.25">
      <c r="A132" s="173"/>
      <c r="B132" s="191"/>
      <c r="C132" s="192"/>
      <c r="D132" s="343"/>
      <c r="E132" s="193"/>
      <c r="F132" s="184"/>
      <c r="G132" s="343"/>
      <c r="H132" s="176"/>
      <c r="I132" s="176"/>
      <c r="J132" s="178"/>
      <c r="K132" s="176"/>
      <c r="L132" s="7">
        <v>20</v>
      </c>
      <c r="M132" s="180" t="s">
        <v>189</v>
      </c>
      <c r="N132" s="180"/>
      <c r="O132" s="54">
        <v>903.54</v>
      </c>
    </row>
    <row r="133" spans="1:15" ht="32.450000000000003" customHeight="1" x14ac:dyDescent="0.25">
      <c r="A133" s="173"/>
      <c r="B133" s="191"/>
      <c r="C133" s="192"/>
      <c r="D133" s="343"/>
      <c r="E133" s="193"/>
      <c r="F133" s="184"/>
      <c r="G133" s="343"/>
      <c r="H133" s="176"/>
      <c r="I133" s="176"/>
      <c r="J133" s="178"/>
      <c r="K133" s="176"/>
      <c r="L133" s="7">
        <v>2</v>
      </c>
      <c r="M133" s="180" t="s">
        <v>190</v>
      </c>
      <c r="N133" s="180"/>
      <c r="O133" s="54">
        <v>751.52</v>
      </c>
    </row>
    <row r="134" spans="1:15" ht="78.75" customHeight="1" x14ac:dyDescent="0.25">
      <c r="A134" s="173"/>
      <c r="B134" s="191"/>
      <c r="C134" s="192"/>
      <c r="D134" s="343"/>
      <c r="E134" s="193"/>
      <c r="F134" s="184"/>
      <c r="G134" s="343"/>
      <c r="H134" s="176"/>
      <c r="I134" s="176"/>
      <c r="J134" s="178"/>
      <c r="K134" s="176"/>
      <c r="L134" s="7">
        <v>1</v>
      </c>
      <c r="M134" s="180" t="s">
        <v>191</v>
      </c>
      <c r="N134" s="180"/>
      <c r="O134" s="54">
        <v>489.56</v>
      </c>
    </row>
    <row r="135" spans="1:15" ht="39" customHeight="1" x14ac:dyDescent="0.25">
      <c r="A135" s="173"/>
      <c r="B135" s="191"/>
      <c r="C135" s="192"/>
      <c r="D135" s="343"/>
      <c r="E135" s="193"/>
      <c r="F135" s="184"/>
      <c r="G135" s="343"/>
      <c r="H135" s="176"/>
      <c r="I135" s="176"/>
      <c r="J135" s="178"/>
      <c r="K135" s="176"/>
      <c r="L135" s="7">
        <v>1</v>
      </c>
      <c r="M135" s="180" t="s">
        <v>192</v>
      </c>
      <c r="N135" s="180"/>
      <c r="O135" s="54">
        <v>406.88</v>
      </c>
    </row>
    <row r="136" spans="1:15" ht="25.9" customHeight="1" x14ac:dyDescent="0.25">
      <c r="A136" s="173"/>
      <c r="B136" s="271"/>
      <c r="C136" s="184"/>
      <c r="D136" s="308"/>
      <c r="E136" s="251"/>
      <c r="F136" s="184"/>
      <c r="G136" s="308"/>
      <c r="H136" s="176"/>
      <c r="I136" s="176"/>
      <c r="J136" s="178"/>
      <c r="K136" s="176"/>
      <c r="L136" s="7">
        <v>5</v>
      </c>
      <c r="M136" s="180" t="s">
        <v>193</v>
      </c>
      <c r="N136" s="180"/>
      <c r="O136" s="79">
        <v>2094.2399999999998</v>
      </c>
    </row>
    <row r="137" spans="1:15" x14ac:dyDescent="0.25">
      <c r="A137" s="173"/>
      <c r="B137" s="271"/>
      <c r="C137" s="184"/>
      <c r="D137" s="308"/>
      <c r="E137" s="251"/>
      <c r="F137" s="184"/>
      <c r="G137" s="308"/>
      <c r="H137" s="176"/>
      <c r="I137" s="176"/>
      <c r="J137" s="178"/>
      <c r="K137" s="176"/>
      <c r="L137" s="7">
        <v>15</v>
      </c>
      <c r="M137" s="180" t="s">
        <v>194</v>
      </c>
      <c r="N137" s="180"/>
      <c r="O137" s="79">
        <v>1256.51</v>
      </c>
    </row>
    <row r="138" spans="1:15" x14ac:dyDescent="0.25">
      <c r="A138" s="173"/>
      <c r="B138" s="271"/>
      <c r="C138" s="184"/>
      <c r="D138" s="308"/>
      <c r="E138" s="251"/>
      <c r="F138" s="184"/>
      <c r="G138" s="308"/>
      <c r="H138" s="176"/>
      <c r="I138" s="176"/>
      <c r="J138" s="178"/>
      <c r="K138" s="176"/>
      <c r="L138" s="7">
        <v>30</v>
      </c>
      <c r="M138" s="180" t="s">
        <v>195</v>
      </c>
      <c r="N138" s="180"/>
      <c r="O138" s="54">
        <v>394.85</v>
      </c>
    </row>
    <row r="139" spans="1:15" ht="29.45" customHeight="1" x14ac:dyDescent="0.25">
      <c r="A139" s="173"/>
      <c r="B139" s="271"/>
      <c r="C139" s="184"/>
      <c r="D139" s="308"/>
      <c r="E139" s="251"/>
      <c r="F139" s="184"/>
      <c r="G139" s="308"/>
      <c r="H139" s="176"/>
      <c r="I139" s="176"/>
      <c r="J139" s="178"/>
      <c r="K139" s="176"/>
      <c r="L139" s="7">
        <v>10</v>
      </c>
      <c r="M139" s="180" t="s">
        <v>196</v>
      </c>
      <c r="N139" s="180"/>
      <c r="O139" s="54">
        <v>598.30999999999995</v>
      </c>
    </row>
    <row r="140" spans="1:15" ht="29.45" customHeight="1" x14ac:dyDescent="0.25">
      <c r="A140" s="173"/>
      <c r="B140" s="271"/>
      <c r="C140" s="184"/>
      <c r="D140" s="308"/>
      <c r="E140" s="251"/>
      <c r="F140" s="184"/>
      <c r="G140" s="308"/>
      <c r="H140" s="176"/>
      <c r="I140" s="176"/>
      <c r="J140" s="178"/>
      <c r="K140" s="176"/>
      <c r="L140" s="7">
        <v>2</v>
      </c>
      <c r="M140" s="180" t="s">
        <v>197</v>
      </c>
      <c r="N140" s="180"/>
      <c r="O140" s="54">
        <v>287.22000000000003</v>
      </c>
    </row>
    <row r="141" spans="1:15" ht="49.15" customHeight="1" x14ac:dyDescent="0.25">
      <c r="A141" s="173"/>
      <c r="B141" s="271"/>
      <c r="C141" s="184"/>
      <c r="D141" s="308"/>
      <c r="E141" s="251"/>
      <c r="F141" s="184"/>
      <c r="G141" s="308"/>
      <c r="H141" s="176"/>
      <c r="I141" s="176"/>
      <c r="J141" s="179"/>
      <c r="K141" s="176"/>
      <c r="L141" s="7">
        <v>3</v>
      </c>
      <c r="M141" s="180" t="s">
        <v>198</v>
      </c>
      <c r="N141" s="180"/>
      <c r="O141" s="54">
        <v>359.02</v>
      </c>
    </row>
    <row r="142" spans="1:15" x14ac:dyDescent="0.25">
      <c r="A142" s="173"/>
      <c r="B142" s="271"/>
      <c r="C142" s="184"/>
      <c r="D142" s="308"/>
      <c r="E142" s="251"/>
      <c r="F142" s="184"/>
      <c r="G142" s="310"/>
      <c r="H142" s="174" t="s">
        <v>159</v>
      </c>
      <c r="I142" s="174"/>
      <c r="J142" s="174"/>
      <c r="K142" s="174"/>
      <c r="L142" s="174"/>
      <c r="M142" s="174"/>
      <c r="N142" s="174"/>
      <c r="O142" s="80">
        <v>13999.96</v>
      </c>
    </row>
    <row r="143" spans="1:15" x14ac:dyDescent="0.25">
      <c r="A143" s="173"/>
      <c r="B143" s="271"/>
      <c r="C143" s="184"/>
      <c r="D143" s="308"/>
      <c r="E143" s="251"/>
      <c r="F143" s="184"/>
      <c r="G143" s="310"/>
      <c r="H143" s="175" t="s">
        <v>129</v>
      </c>
      <c r="I143" s="175"/>
      <c r="J143" s="175"/>
      <c r="K143" s="175"/>
      <c r="L143" s="175"/>
      <c r="M143" s="175"/>
      <c r="N143" s="175"/>
      <c r="O143" s="85">
        <v>37195.01</v>
      </c>
    </row>
    <row r="144" spans="1:15" ht="45" customHeight="1" x14ac:dyDescent="0.25">
      <c r="A144" s="173"/>
      <c r="B144" s="40" t="s">
        <v>37</v>
      </c>
      <c r="C144" s="371" t="s">
        <v>200</v>
      </c>
      <c r="D144" s="354"/>
      <c r="E144" s="354"/>
      <c r="F144" s="354"/>
      <c r="G144" s="354"/>
      <c r="H144" s="354"/>
      <c r="I144" s="354"/>
      <c r="J144" s="354"/>
      <c r="K144" s="354"/>
      <c r="L144" s="354"/>
      <c r="M144" s="354"/>
      <c r="N144" s="354"/>
      <c r="O144" s="355"/>
    </row>
    <row r="145" spans="1:15" ht="39.75" customHeight="1" x14ac:dyDescent="0.25">
      <c r="A145" s="380"/>
      <c r="B145" s="40" t="s">
        <v>39</v>
      </c>
      <c r="C145" s="372" t="s">
        <v>379</v>
      </c>
      <c r="D145" s="372"/>
      <c r="E145" s="372"/>
      <c r="F145" s="372"/>
      <c r="G145" s="372"/>
      <c r="H145" s="372"/>
      <c r="I145" s="372"/>
      <c r="J145" s="372"/>
      <c r="K145" s="372"/>
      <c r="L145" s="372"/>
      <c r="M145" s="372"/>
      <c r="N145" s="372"/>
      <c r="O145" s="373"/>
    </row>
    <row r="146" spans="1:15" ht="43.9" customHeight="1" x14ac:dyDescent="0.25">
      <c r="A146" s="224">
        <v>7</v>
      </c>
      <c r="B146" s="60"/>
      <c r="C146" s="113"/>
      <c r="D146" s="11" t="s">
        <v>145</v>
      </c>
      <c r="E146" s="110"/>
      <c r="F146" s="235"/>
      <c r="G146" s="212" t="s">
        <v>203</v>
      </c>
      <c r="H146" s="212"/>
      <c r="I146" s="212"/>
      <c r="J146" s="212"/>
      <c r="K146" s="212"/>
      <c r="L146" s="212"/>
      <c r="M146" s="212"/>
      <c r="N146" s="212"/>
      <c r="O146" s="213"/>
    </row>
    <row r="147" spans="1:15" ht="39" x14ac:dyDescent="0.25">
      <c r="A147" s="225"/>
      <c r="B147" s="81" t="s">
        <v>201</v>
      </c>
      <c r="C147" s="51">
        <v>45769</v>
      </c>
      <c r="D147" s="322" t="s">
        <v>228</v>
      </c>
      <c r="E147" s="111">
        <v>59468.56</v>
      </c>
      <c r="F147" s="221"/>
      <c r="G147" s="318"/>
      <c r="H147" s="318"/>
      <c r="I147" s="318"/>
      <c r="J147" s="318"/>
      <c r="K147" s="318"/>
      <c r="L147" s="318"/>
      <c r="M147" s="318"/>
      <c r="N147" s="318"/>
      <c r="O147" s="215"/>
    </row>
    <row r="148" spans="1:15" x14ac:dyDescent="0.25">
      <c r="A148" s="225"/>
      <c r="B148" s="92"/>
      <c r="C148" s="28"/>
      <c r="D148" s="322"/>
      <c r="E148" s="112"/>
      <c r="F148" s="221"/>
      <c r="G148" s="318"/>
      <c r="H148" s="318"/>
      <c r="I148" s="318"/>
      <c r="J148" s="318"/>
      <c r="K148" s="318"/>
      <c r="L148" s="318"/>
      <c r="M148" s="318"/>
      <c r="N148" s="318"/>
      <c r="O148" s="215"/>
    </row>
    <row r="149" spans="1:15" ht="19.149999999999999" customHeight="1" x14ac:dyDescent="0.25">
      <c r="A149" s="225"/>
      <c r="B149" s="81" t="s">
        <v>202</v>
      </c>
      <c r="C149" s="51">
        <v>45756</v>
      </c>
      <c r="D149" s="318" t="s">
        <v>229</v>
      </c>
      <c r="E149" s="111">
        <v>59468.56</v>
      </c>
      <c r="F149" s="221"/>
      <c r="G149" s="318"/>
      <c r="H149" s="318"/>
      <c r="I149" s="318"/>
      <c r="J149" s="318"/>
      <c r="K149" s="318"/>
      <c r="L149" s="318"/>
      <c r="M149" s="318"/>
      <c r="N149" s="318"/>
      <c r="O149" s="215"/>
    </row>
    <row r="150" spans="1:15" ht="16.5" x14ac:dyDescent="0.25">
      <c r="A150" s="225"/>
      <c r="B150" s="81"/>
      <c r="C150" s="51"/>
      <c r="D150" s="318"/>
      <c r="E150" s="111"/>
      <c r="F150" s="31"/>
      <c r="G150" s="312"/>
      <c r="H150" s="6" t="s">
        <v>149</v>
      </c>
      <c r="I150" s="6" t="s">
        <v>220</v>
      </c>
      <c r="J150" s="182" t="s">
        <v>150</v>
      </c>
      <c r="K150" s="182"/>
      <c r="L150" s="182"/>
      <c r="M150" s="182"/>
      <c r="N150" s="4" t="s">
        <v>221</v>
      </c>
      <c r="O150" s="6" t="s">
        <v>96</v>
      </c>
    </row>
    <row r="151" spans="1:15" ht="24" customHeight="1" x14ac:dyDescent="0.25">
      <c r="A151" s="225"/>
      <c r="B151" s="81"/>
      <c r="C151" s="51"/>
      <c r="D151" s="318"/>
      <c r="E151" s="111"/>
      <c r="F151" s="31"/>
      <c r="G151" s="312"/>
      <c r="H151" s="7">
        <v>2</v>
      </c>
      <c r="I151" s="7" t="s">
        <v>204</v>
      </c>
      <c r="J151" s="180" t="s">
        <v>222</v>
      </c>
      <c r="K151" s="180"/>
      <c r="L151" s="180"/>
      <c r="M151" s="180"/>
      <c r="N151" s="86">
        <v>162.4</v>
      </c>
      <c r="O151" s="86">
        <v>324.8</v>
      </c>
    </row>
    <row r="152" spans="1:15" x14ac:dyDescent="0.25">
      <c r="A152" s="225"/>
      <c r="B152" s="81"/>
      <c r="C152" s="51"/>
      <c r="D152" s="313"/>
      <c r="E152" s="111"/>
      <c r="F152" s="31"/>
      <c r="G152" s="312"/>
      <c r="H152" s="7">
        <v>2</v>
      </c>
      <c r="I152" s="7" t="s">
        <v>204</v>
      </c>
      <c r="J152" s="180" t="s">
        <v>223</v>
      </c>
      <c r="K152" s="180"/>
      <c r="L152" s="180"/>
      <c r="M152" s="180"/>
      <c r="N152" s="86">
        <v>71.92</v>
      </c>
      <c r="O152" s="86">
        <v>143.84</v>
      </c>
    </row>
    <row r="153" spans="1:15" x14ac:dyDescent="0.25">
      <c r="A153" s="225"/>
      <c r="B153" s="81"/>
      <c r="C153" s="51"/>
      <c r="D153" s="313"/>
      <c r="E153" s="111"/>
      <c r="F153" s="31"/>
      <c r="G153" s="312"/>
      <c r="H153" s="7">
        <v>1</v>
      </c>
      <c r="I153" s="7" t="s">
        <v>206</v>
      </c>
      <c r="J153" s="180" t="s">
        <v>224</v>
      </c>
      <c r="K153" s="180"/>
      <c r="L153" s="180"/>
      <c r="M153" s="180"/>
      <c r="N153" s="86">
        <v>146.16</v>
      </c>
      <c r="O153" s="86">
        <v>146.16</v>
      </c>
    </row>
    <row r="154" spans="1:15" x14ac:dyDescent="0.25">
      <c r="A154" s="225"/>
      <c r="B154" s="81"/>
      <c r="C154" s="51"/>
      <c r="D154" s="313"/>
      <c r="E154" s="111"/>
      <c r="F154" s="31"/>
      <c r="G154" s="312"/>
      <c r="H154" s="7">
        <v>1</v>
      </c>
      <c r="I154" s="7" t="s">
        <v>206</v>
      </c>
      <c r="J154" s="180" t="s">
        <v>225</v>
      </c>
      <c r="K154" s="180"/>
      <c r="L154" s="180"/>
      <c r="M154" s="180"/>
      <c r="N154" s="86">
        <v>109.04</v>
      </c>
      <c r="O154" s="86">
        <v>109.04</v>
      </c>
    </row>
    <row r="155" spans="1:15" x14ac:dyDescent="0.25">
      <c r="A155" s="225"/>
      <c r="B155" s="81"/>
      <c r="C155" s="51"/>
      <c r="D155" s="313"/>
      <c r="E155" s="111"/>
      <c r="F155" s="31"/>
      <c r="G155" s="312"/>
      <c r="H155" s="7">
        <v>10</v>
      </c>
      <c r="I155" s="7" t="s">
        <v>204</v>
      </c>
      <c r="J155" s="180" t="s">
        <v>226</v>
      </c>
      <c r="K155" s="180"/>
      <c r="L155" s="180"/>
      <c r="M155" s="180"/>
      <c r="N155" s="86">
        <v>324.8</v>
      </c>
      <c r="O155" s="86">
        <v>3248</v>
      </c>
    </row>
    <row r="156" spans="1:15" x14ac:dyDescent="0.25">
      <c r="A156" s="225"/>
      <c r="B156" s="81"/>
      <c r="C156" s="51"/>
      <c r="D156" s="313"/>
      <c r="E156" s="111"/>
      <c r="F156" s="31"/>
      <c r="G156" s="312"/>
      <c r="H156" s="7">
        <v>3</v>
      </c>
      <c r="I156" s="7" t="s">
        <v>206</v>
      </c>
      <c r="J156" s="180" t="s">
        <v>227</v>
      </c>
      <c r="K156" s="180"/>
      <c r="L156" s="180"/>
      <c r="M156" s="180"/>
      <c r="N156" s="86">
        <v>665.84</v>
      </c>
      <c r="O156" s="86">
        <v>1997.52</v>
      </c>
    </row>
    <row r="157" spans="1:15" x14ac:dyDescent="0.25">
      <c r="A157" s="225"/>
      <c r="B157" s="191"/>
      <c r="C157" s="192"/>
      <c r="D157" s="343"/>
      <c r="E157" s="268"/>
      <c r="F157" s="263"/>
      <c r="G157" s="343"/>
      <c r="H157" s="7">
        <v>2</v>
      </c>
      <c r="I157" s="7" t="s">
        <v>204</v>
      </c>
      <c r="J157" s="180" t="s">
        <v>205</v>
      </c>
      <c r="K157" s="180"/>
      <c r="L157" s="180"/>
      <c r="M157" s="180"/>
      <c r="N157" s="86">
        <v>549.84</v>
      </c>
      <c r="O157" s="87">
        <v>1099.68</v>
      </c>
    </row>
    <row r="158" spans="1:15" x14ac:dyDescent="0.25">
      <c r="A158" s="225"/>
      <c r="B158" s="191"/>
      <c r="C158" s="192"/>
      <c r="D158" s="343"/>
      <c r="E158" s="268"/>
      <c r="F158" s="263"/>
      <c r="G158" s="343"/>
      <c r="H158" s="7">
        <v>5</v>
      </c>
      <c r="I158" s="7" t="s">
        <v>206</v>
      </c>
      <c r="J158" s="180" t="s">
        <v>207</v>
      </c>
      <c r="K158" s="180"/>
      <c r="L158" s="180"/>
      <c r="M158" s="180"/>
      <c r="N158" s="86">
        <v>392.08</v>
      </c>
      <c r="O158" s="87">
        <v>1960.4</v>
      </c>
    </row>
    <row r="159" spans="1:15" x14ac:dyDescent="0.25">
      <c r="A159" s="225"/>
      <c r="B159" s="191"/>
      <c r="C159" s="192"/>
      <c r="D159" s="343"/>
      <c r="E159" s="268"/>
      <c r="F159" s="263"/>
      <c r="G159" s="343"/>
      <c r="H159" s="7">
        <v>1</v>
      </c>
      <c r="I159" s="7" t="s">
        <v>204</v>
      </c>
      <c r="J159" s="180" t="s">
        <v>208</v>
      </c>
      <c r="K159" s="180"/>
      <c r="L159" s="180"/>
      <c r="M159" s="180"/>
      <c r="N159" s="86">
        <v>145</v>
      </c>
      <c r="O159" s="87">
        <v>145</v>
      </c>
    </row>
    <row r="160" spans="1:15" x14ac:dyDescent="0.25">
      <c r="A160" s="225"/>
      <c r="B160" s="191"/>
      <c r="C160" s="192"/>
      <c r="D160" s="343"/>
      <c r="E160" s="268"/>
      <c r="F160" s="263"/>
      <c r="G160" s="343"/>
      <c r="H160" s="7">
        <v>16</v>
      </c>
      <c r="I160" s="7" t="s">
        <v>204</v>
      </c>
      <c r="J160" s="180" t="s">
        <v>209</v>
      </c>
      <c r="K160" s="180"/>
      <c r="L160" s="180"/>
      <c r="M160" s="180"/>
      <c r="N160" s="86">
        <v>83.52</v>
      </c>
      <c r="O160" s="87">
        <v>1336.32</v>
      </c>
    </row>
    <row r="161" spans="1:15" x14ac:dyDescent="0.25">
      <c r="A161" s="225"/>
      <c r="B161" s="191"/>
      <c r="C161" s="192"/>
      <c r="D161" s="343"/>
      <c r="E161" s="268"/>
      <c r="F161" s="263"/>
      <c r="G161" s="343"/>
      <c r="H161" s="7">
        <v>15</v>
      </c>
      <c r="I161" s="7" t="s">
        <v>204</v>
      </c>
      <c r="J161" s="180" t="s">
        <v>210</v>
      </c>
      <c r="K161" s="180"/>
      <c r="L161" s="180"/>
      <c r="M161" s="180"/>
      <c r="N161" s="86">
        <v>84.68</v>
      </c>
      <c r="O161" s="87">
        <v>1270.2</v>
      </c>
    </row>
    <row r="162" spans="1:15" x14ac:dyDescent="0.25">
      <c r="A162" s="225"/>
      <c r="B162" s="191"/>
      <c r="C162" s="192"/>
      <c r="D162" s="343"/>
      <c r="E162" s="268"/>
      <c r="F162" s="263"/>
      <c r="G162" s="343"/>
      <c r="H162" s="7">
        <v>5</v>
      </c>
      <c r="I162" s="7" t="s">
        <v>204</v>
      </c>
      <c r="J162" s="180" t="s">
        <v>211</v>
      </c>
      <c r="K162" s="180"/>
      <c r="L162" s="180"/>
      <c r="M162" s="180"/>
      <c r="N162" s="86">
        <v>33.64</v>
      </c>
      <c r="O162" s="87">
        <v>168.2</v>
      </c>
    </row>
    <row r="163" spans="1:15" x14ac:dyDescent="0.25">
      <c r="A163" s="225"/>
      <c r="B163" s="191"/>
      <c r="C163" s="192"/>
      <c r="D163" s="343"/>
      <c r="E163" s="268"/>
      <c r="F163" s="263"/>
      <c r="G163" s="343"/>
      <c r="H163" s="7">
        <v>5</v>
      </c>
      <c r="I163" s="7" t="s">
        <v>204</v>
      </c>
      <c r="J163" s="180" t="s">
        <v>212</v>
      </c>
      <c r="K163" s="180"/>
      <c r="L163" s="180"/>
      <c r="M163" s="180"/>
      <c r="N163" s="86">
        <v>103.24</v>
      </c>
      <c r="O163" s="87">
        <v>516.20000000000005</v>
      </c>
    </row>
    <row r="164" spans="1:15" x14ac:dyDescent="0.25">
      <c r="A164" s="225"/>
      <c r="B164" s="191"/>
      <c r="C164" s="192"/>
      <c r="D164" s="343"/>
      <c r="E164" s="268"/>
      <c r="F164" s="263"/>
      <c r="G164" s="343"/>
      <c r="H164" s="7">
        <v>3</v>
      </c>
      <c r="I164" s="7" t="s">
        <v>204</v>
      </c>
      <c r="J164" s="180" t="s">
        <v>213</v>
      </c>
      <c r="K164" s="180"/>
      <c r="L164" s="180"/>
      <c r="M164" s="180"/>
      <c r="N164" s="86">
        <v>151.96</v>
      </c>
      <c r="O164" s="87">
        <v>455.88</v>
      </c>
    </row>
    <row r="165" spans="1:15" x14ac:dyDescent="0.25">
      <c r="A165" s="225"/>
      <c r="B165" s="191"/>
      <c r="C165" s="192"/>
      <c r="D165" s="343"/>
      <c r="E165" s="268"/>
      <c r="F165" s="263"/>
      <c r="G165" s="343"/>
      <c r="H165" s="7">
        <v>2</v>
      </c>
      <c r="I165" s="7" t="s">
        <v>204</v>
      </c>
      <c r="J165" s="180" t="s">
        <v>214</v>
      </c>
      <c r="K165" s="180"/>
      <c r="L165" s="180"/>
      <c r="M165" s="180"/>
      <c r="N165" s="86">
        <v>409.48</v>
      </c>
      <c r="O165" s="87">
        <v>818.96</v>
      </c>
    </row>
    <row r="166" spans="1:15" x14ac:dyDescent="0.25">
      <c r="A166" s="225"/>
      <c r="B166" s="191"/>
      <c r="C166" s="192"/>
      <c r="D166" s="343"/>
      <c r="E166" s="268"/>
      <c r="F166" s="263"/>
      <c r="G166" s="343"/>
      <c r="H166" s="7">
        <v>10</v>
      </c>
      <c r="I166" s="7" t="s">
        <v>204</v>
      </c>
      <c r="J166" s="180" t="s">
        <v>215</v>
      </c>
      <c r="K166" s="180"/>
      <c r="L166" s="180"/>
      <c r="M166" s="180"/>
      <c r="N166" s="86">
        <v>1125.2</v>
      </c>
      <c r="O166" s="88">
        <v>11252</v>
      </c>
    </row>
    <row r="167" spans="1:15" x14ac:dyDescent="0.25">
      <c r="A167" s="225"/>
      <c r="B167" s="191"/>
      <c r="C167" s="192"/>
      <c r="D167" s="343"/>
      <c r="E167" s="268"/>
      <c r="F167" s="263"/>
      <c r="G167" s="343"/>
      <c r="H167" s="7">
        <v>3</v>
      </c>
      <c r="I167" s="7" t="s">
        <v>204</v>
      </c>
      <c r="J167" s="180" t="s">
        <v>216</v>
      </c>
      <c r="K167" s="180"/>
      <c r="L167" s="180"/>
      <c r="M167" s="180"/>
      <c r="N167" s="86">
        <v>451.24</v>
      </c>
      <c r="O167" s="87">
        <v>1353.72</v>
      </c>
    </row>
    <row r="168" spans="1:15" x14ac:dyDescent="0.25">
      <c r="A168" s="225"/>
      <c r="B168" s="191"/>
      <c r="C168" s="192"/>
      <c r="D168" s="343"/>
      <c r="E168" s="268"/>
      <c r="F168" s="263"/>
      <c r="G168" s="343"/>
      <c r="H168" s="7">
        <v>1</v>
      </c>
      <c r="I168" s="7" t="s">
        <v>204</v>
      </c>
      <c r="J168" s="180" t="s">
        <v>217</v>
      </c>
      <c r="K168" s="180"/>
      <c r="L168" s="180"/>
      <c r="M168" s="180"/>
      <c r="N168" s="86">
        <v>524.32000000000005</v>
      </c>
      <c r="O168" s="87">
        <v>524.32000000000005</v>
      </c>
    </row>
    <row r="169" spans="1:15" x14ac:dyDescent="0.25">
      <c r="A169" s="225"/>
      <c r="B169" s="191"/>
      <c r="C169" s="192"/>
      <c r="D169" s="343"/>
      <c r="E169" s="268"/>
      <c r="F169" s="263"/>
      <c r="G169" s="343"/>
      <c r="H169" s="7">
        <v>1</v>
      </c>
      <c r="I169" s="7" t="s">
        <v>204</v>
      </c>
      <c r="J169" s="180" t="s">
        <v>218</v>
      </c>
      <c r="K169" s="180"/>
      <c r="L169" s="180"/>
      <c r="M169" s="180"/>
      <c r="N169" s="86">
        <v>853.76</v>
      </c>
      <c r="O169" s="87">
        <v>853.76</v>
      </c>
    </row>
    <row r="170" spans="1:15" x14ac:dyDescent="0.25">
      <c r="A170" s="225"/>
      <c r="B170" s="191"/>
      <c r="C170" s="192"/>
      <c r="D170" s="343"/>
      <c r="E170" s="268"/>
      <c r="F170" s="263"/>
      <c r="G170" s="343"/>
      <c r="H170" s="7">
        <v>40</v>
      </c>
      <c r="I170" s="7" t="s">
        <v>204</v>
      </c>
      <c r="J170" s="180" t="s">
        <v>219</v>
      </c>
      <c r="K170" s="180"/>
      <c r="L170" s="180"/>
      <c r="M170" s="180"/>
      <c r="N170" s="86">
        <v>40.6</v>
      </c>
      <c r="O170" s="87">
        <v>1624</v>
      </c>
    </row>
    <row r="171" spans="1:15" x14ac:dyDescent="0.25">
      <c r="A171" s="225"/>
      <c r="B171" s="265"/>
      <c r="C171" s="266"/>
      <c r="D171" s="267"/>
      <c r="E171" s="269"/>
      <c r="F171" s="264"/>
      <c r="G171" s="267"/>
      <c r="H171" s="174" t="s">
        <v>129</v>
      </c>
      <c r="I171" s="174"/>
      <c r="J171" s="174"/>
      <c r="K171" s="174"/>
      <c r="L171" s="174"/>
      <c r="M171" s="174"/>
      <c r="N171" s="174"/>
      <c r="O171" s="89">
        <v>29348</v>
      </c>
    </row>
    <row r="172" spans="1:15" ht="45" customHeight="1" x14ac:dyDescent="0.25">
      <c r="A172" s="225"/>
      <c r="B172" s="40" t="s">
        <v>37</v>
      </c>
      <c r="C172" s="381" t="s">
        <v>200</v>
      </c>
      <c r="D172" s="381"/>
      <c r="E172" s="381"/>
      <c r="F172" s="381"/>
      <c r="G172" s="381"/>
      <c r="H172" s="381"/>
      <c r="I172" s="381"/>
      <c r="J172" s="381"/>
      <c r="K172" s="381"/>
      <c r="L172" s="381"/>
      <c r="M172" s="381"/>
      <c r="N172" s="381"/>
      <c r="O172" s="381"/>
    </row>
    <row r="173" spans="1:15" ht="39.6" customHeight="1" x14ac:dyDescent="0.25">
      <c r="A173" s="286"/>
      <c r="B173" s="40" t="s">
        <v>39</v>
      </c>
      <c r="C173" s="372" t="s">
        <v>380</v>
      </c>
      <c r="D173" s="372"/>
      <c r="E173" s="372"/>
      <c r="F173" s="372"/>
      <c r="G173" s="372"/>
      <c r="H173" s="372"/>
      <c r="I173" s="372"/>
      <c r="J173" s="372"/>
      <c r="K173" s="372"/>
      <c r="L173" s="372"/>
      <c r="M173" s="372"/>
      <c r="N173" s="372"/>
      <c r="O173" s="373"/>
    </row>
    <row r="174" spans="1:15" ht="81.599999999999994" customHeight="1" x14ac:dyDescent="0.25">
      <c r="A174" s="224">
        <v>8</v>
      </c>
      <c r="B174" s="16"/>
      <c r="C174" s="113"/>
      <c r="D174" s="139" t="s">
        <v>145</v>
      </c>
      <c r="E174" s="133"/>
      <c r="F174" s="13"/>
      <c r="G174" s="226" t="s">
        <v>374</v>
      </c>
      <c r="H174" s="203"/>
      <c r="I174" s="203"/>
      <c r="J174" s="203"/>
      <c r="K174" s="203"/>
      <c r="L174" s="203"/>
      <c r="M174" s="203"/>
      <c r="N174" s="203"/>
      <c r="O174" s="204"/>
    </row>
    <row r="175" spans="1:15" ht="48.75" x14ac:dyDescent="0.25">
      <c r="A175" s="225"/>
      <c r="B175" s="321" t="s">
        <v>230</v>
      </c>
      <c r="C175" s="51">
        <v>45688</v>
      </c>
      <c r="D175" s="34" t="s">
        <v>264</v>
      </c>
      <c r="E175" s="126">
        <v>8120</v>
      </c>
      <c r="F175" s="14"/>
      <c r="G175" s="344" t="s">
        <v>235</v>
      </c>
      <c r="H175" s="346"/>
      <c r="I175" s="346"/>
      <c r="J175" s="346"/>
      <c r="K175" s="346"/>
      <c r="L175" s="346"/>
      <c r="M175" s="346"/>
      <c r="N175" s="346"/>
      <c r="O175" s="345"/>
    </row>
    <row r="176" spans="1:15" ht="6.6" customHeight="1" x14ac:dyDescent="0.25">
      <c r="A176" s="225"/>
      <c r="B176" s="311"/>
      <c r="C176" s="114"/>
      <c r="D176" s="34"/>
      <c r="E176" s="125"/>
      <c r="F176" s="14"/>
      <c r="G176" s="272"/>
      <c r="H176" s="273"/>
      <c r="I176" s="273"/>
      <c r="J176" s="273"/>
      <c r="K176" s="273"/>
      <c r="L176" s="273"/>
      <c r="M176" s="273"/>
      <c r="N176" s="273"/>
      <c r="O176" s="274"/>
    </row>
    <row r="177" spans="1:15" ht="58.5" x14ac:dyDescent="0.25">
      <c r="A177" s="225"/>
      <c r="B177" s="321" t="s">
        <v>231</v>
      </c>
      <c r="C177" s="51">
        <v>45687</v>
      </c>
      <c r="D177" s="34" t="s">
        <v>265</v>
      </c>
      <c r="E177" s="126">
        <v>8120</v>
      </c>
      <c r="F177" s="14"/>
      <c r="G177" s="6" t="s">
        <v>92</v>
      </c>
      <c r="H177" s="6" t="s">
        <v>236</v>
      </c>
      <c r="I177" s="6" t="s">
        <v>167</v>
      </c>
      <c r="J177" s="182" t="s">
        <v>299</v>
      </c>
      <c r="K177" s="182"/>
      <c r="L177" s="6" t="s">
        <v>149</v>
      </c>
      <c r="M177" s="182" t="s">
        <v>150</v>
      </c>
      <c r="N177" s="182"/>
      <c r="O177" s="6" t="s">
        <v>96</v>
      </c>
    </row>
    <row r="178" spans="1:15" ht="29.45" customHeight="1" x14ac:dyDescent="0.25">
      <c r="A178" s="225"/>
      <c r="B178" s="311"/>
      <c r="C178" s="114"/>
      <c r="D178" s="34"/>
      <c r="E178" s="125"/>
      <c r="F178" s="14"/>
      <c r="G178" s="7" t="s">
        <v>237</v>
      </c>
      <c r="H178" s="7" t="s">
        <v>278</v>
      </c>
      <c r="I178" s="41">
        <v>45688</v>
      </c>
      <c r="J178" s="176" t="s">
        <v>291</v>
      </c>
      <c r="K178" s="176"/>
      <c r="L178" s="7">
        <v>29</v>
      </c>
      <c r="M178" s="180" t="s">
        <v>238</v>
      </c>
      <c r="N178" s="180"/>
      <c r="O178" s="94">
        <v>4060</v>
      </c>
    </row>
    <row r="179" spans="1:15" ht="20.45" customHeight="1" x14ac:dyDescent="0.25">
      <c r="A179" s="225"/>
      <c r="B179" s="321" t="s">
        <v>232</v>
      </c>
      <c r="C179" s="51">
        <v>45699</v>
      </c>
      <c r="D179" s="217" t="s">
        <v>234</v>
      </c>
      <c r="E179" s="126">
        <v>6973.16</v>
      </c>
      <c r="F179" s="14"/>
      <c r="G179" s="176" t="s">
        <v>239</v>
      </c>
      <c r="H179" s="176" t="s">
        <v>279</v>
      </c>
      <c r="I179" s="288">
        <v>45699</v>
      </c>
      <c r="J179" s="176" t="s">
        <v>292</v>
      </c>
      <c r="K179" s="176"/>
      <c r="L179" s="7">
        <v>4</v>
      </c>
      <c r="M179" s="180" t="s">
        <v>240</v>
      </c>
      <c r="N179" s="180"/>
      <c r="O179" s="94">
        <v>1977.8</v>
      </c>
    </row>
    <row r="180" spans="1:15" ht="20.45" customHeight="1" x14ac:dyDescent="0.25">
      <c r="A180" s="225"/>
      <c r="B180" s="311"/>
      <c r="C180" s="114"/>
      <c r="D180" s="217"/>
      <c r="E180" s="125"/>
      <c r="F180" s="14"/>
      <c r="G180" s="176"/>
      <c r="H180" s="176"/>
      <c r="I180" s="288"/>
      <c r="J180" s="176"/>
      <c r="K180" s="176"/>
      <c r="L180" s="7">
        <v>5</v>
      </c>
      <c r="M180" s="180" t="s">
        <v>241</v>
      </c>
      <c r="N180" s="180"/>
      <c r="O180" s="86">
        <v>210.25</v>
      </c>
    </row>
    <row r="181" spans="1:15" ht="28.15" customHeight="1" x14ac:dyDescent="0.25">
      <c r="A181" s="225"/>
      <c r="B181" s="321" t="s">
        <v>233</v>
      </c>
      <c r="C181" s="51">
        <v>45699</v>
      </c>
      <c r="D181" s="217" t="s">
        <v>300</v>
      </c>
      <c r="E181" s="126">
        <v>6973.16</v>
      </c>
      <c r="F181" s="14"/>
      <c r="G181" s="176"/>
      <c r="H181" s="176"/>
      <c r="I181" s="288"/>
      <c r="J181" s="176"/>
      <c r="K181" s="176"/>
      <c r="L181" s="7">
        <v>1</v>
      </c>
      <c r="M181" s="180" t="s">
        <v>280</v>
      </c>
      <c r="N181" s="180"/>
      <c r="O181" s="94">
        <v>132</v>
      </c>
    </row>
    <row r="182" spans="1:15" ht="18.600000000000001" customHeight="1" x14ac:dyDescent="0.25">
      <c r="A182" s="225"/>
      <c r="B182" s="311"/>
      <c r="C182" s="114"/>
      <c r="D182" s="217"/>
      <c r="E182" s="125"/>
      <c r="F182" s="14"/>
      <c r="G182" s="176"/>
      <c r="H182" s="176"/>
      <c r="I182" s="288"/>
      <c r="J182" s="176"/>
      <c r="K182" s="176"/>
      <c r="L182" s="7">
        <v>1</v>
      </c>
      <c r="M182" s="180" t="s">
        <v>281</v>
      </c>
      <c r="N182" s="180"/>
      <c r="O182" s="87">
        <v>836.65</v>
      </c>
    </row>
    <row r="183" spans="1:15" ht="15.6" customHeight="1" x14ac:dyDescent="0.25">
      <c r="A183" s="225"/>
      <c r="B183" s="331" t="s">
        <v>242</v>
      </c>
      <c r="C183" s="205">
        <v>45716</v>
      </c>
      <c r="D183" s="217" t="s">
        <v>266</v>
      </c>
      <c r="E183" s="125"/>
      <c r="F183" s="14"/>
      <c r="G183" s="176" t="s">
        <v>244</v>
      </c>
      <c r="H183" s="176" t="s">
        <v>282</v>
      </c>
      <c r="I183" s="288">
        <v>45735</v>
      </c>
      <c r="J183" s="176" t="s">
        <v>293</v>
      </c>
      <c r="K183" s="176"/>
      <c r="L183" s="7">
        <v>2</v>
      </c>
      <c r="M183" s="180" t="s">
        <v>243</v>
      </c>
      <c r="N183" s="180"/>
      <c r="O183" s="86">
        <v>238.03</v>
      </c>
    </row>
    <row r="184" spans="1:15" ht="30" customHeight="1" x14ac:dyDescent="0.25">
      <c r="A184" s="225"/>
      <c r="B184" s="331"/>
      <c r="C184" s="205"/>
      <c r="D184" s="217"/>
      <c r="E184" s="287">
        <v>5996.02</v>
      </c>
      <c r="F184" s="14"/>
      <c r="G184" s="176"/>
      <c r="H184" s="176"/>
      <c r="I184" s="288"/>
      <c r="J184" s="176"/>
      <c r="K184" s="176"/>
      <c r="L184" s="7">
        <v>1</v>
      </c>
      <c r="M184" s="180" t="s">
        <v>283</v>
      </c>
      <c r="N184" s="180"/>
      <c r="O184" s="87">
        <v>216.27</v>
      </c>
    </row>
    <row r="185" spans="1:15" ht="28.15" customHeight="1" x14ac:dyDescent="0.25">
      <c r="A185" s="225"/>
      <c r="B185" s="331"/>
      <c r="C185" s="205"/>
      <c r="D185" s="217"/>
      <c r="E185" s="287"/>
      <c r="F185" s="14"/>
      <c r="G185" s="176"/>
      <c r="H185" s="176"/>
      <c r="I185" s="288"/>
      <c r="J185" s="176"/>
      <c r="K185" s="176"/>
      <c r="L185" s="7">
        <v>15</v>
      </c>
      <c r="M185" s="180" t="s">
        <v>284</v>
      </c>
      <c r="N185" s="180"/>
      <c r="O185" s="86">
        <v>2100.0100000000002</v>
      </c>
    </row>
    <row r="186" spans="1:15" ht="68.25" x14ac:dyDescent="0.25">
      <c r="A186" s="225"/>
      <c r="B186" s="321" t="s">
        <v>245</v>
      </c>
      <c r="C186" s="51">
        <v>45715</v>
      </c>
      <c r="D186" s="34" t="s">
        <v>267</v>
      </c>
      <c r="E186" s="126">
        <v>5996.02</v>
      </c>
      <c r="F186" s="14"/>
      <c r="G186" s="7" t="s">
        <v>248</v>
      </c>
      <c r="H186" s="7" t="s">
        <v>285</v>
      </c>
      <c r="I186" s="41">
        <v>45734</v>
      </c>
      <c r="J186" s="176" t="s">
        <v>294</v>
      </c>
      <c r="K186" s="176"/>
      <c r="L186" s="7">
        <v>40</v>
      </c>
      <c r="M186" s="180" t="s">
        <v>246</v>
      </c>
      <c r="N186" s="180"/>
      <c r="O186" s="94">
        <v>5599.55</v>
      </c>
    </row>
    <row r="187" spans="1:15" ht="27" customHeight="1" x14ac:dyDescent="0.25">
      <c r="A187" s="225"/>
      <c r="B187" s="311"/>
      <c r="C187" s="114"/>
      <c r="D187" s="140"/>
      <c r="E187" s="125"/>
      <c r="F187" s="14"/>
      <c r="G187" s="7" t="s">
        <v>249</v>
      </c>
      <c r="H187" s="7" t="s">
        <v>286</v>
      </c>
      <c r="I187" s="41">
        <v>45761</v>
      </c>
      <c r="J187" s="176" t="s">
        <v>295</v>
      </c>
      <c r="K187" s="176"/>
      <c r="L187" s="7">
        <v>5</v>
      </c>
      <c r="M187" s="180" t="s">
        <v>287</v>
      </c>
      <c r="N187" s="180"/>
      <c r="O187" s="86">
        <v>2569.4</v>
      </c>
    </row>
    <row r="188" spans="1:15" ht="58.5" x14ac:dyDescent="0.25">
      <c r="A188" s="225"/>
      <c r="B188" s="321" t="s">
        <v>247</v>
      </c>
      <c r="C188" s="51">
        <v>45734</v>
      </c>
      <c r="D188" s="34" t="s">
        <v>268</v>
      </c>
      <c r="E188" s="127">
        <v>11199.1</v>
      </c>
      <c r="F188" s="14"/>
      <c r="G188" s="7" t="s">
        <v>250</v>
      </c>
      <c r="H188" s="7" t="s">
        <v>288</v>
      </c>
      <c r="I188" s="41">
        <v>45776</v>
      </c>
      <c r="J188" s="176" t="s">
        <v>296</v>
      </c>
      <c r="K188" s="176"/>
      <c r="L188" s="7">
        <v>29</v>
      </c>
      <c r="M188" s="180" t="s">
        <v>246</v>
      </c>
      <c r="N188" s="180"/>
      <c r="O188" s="86">
        <v>4060</v>
      </c>
    </row>
    <row r="189" spans="1:15" ht="29.45" customHeight="1" x14ac:dyDescent="0.25">
      <c r="A189" s="225"/>
      <c r="B189" s="310"/>
      <c r="C189" s="122"/>
      <c r="D189" s="140"/>
      <c r="E189" s="128"/>
      <c r="F189" s="14"/>
      <c r="G189" s="7" t="s">
        <v>252</v>
      </c>
      <c r="H189" s="7" t="s">
        <v>289</v>
      </c>
      <c r="I189" s="41">
        <v>45796</v>
      </c>
      <c r="J189" s="176" t="s">
        <v>297</v>
      </c>
      <c r="K189" s="176"/>
      <c r="L189" s="7">
        <v>40</v>
      </c>
      <c r="M189" s="180" t="s">
        <v>246</v>
      </c>
      <c r="N189" s="180"/>
      <c r="O189" s="79">
        <v>5599.55</v>
      </c>
    </row>
    <row r="190" spans="1:15" ht="78" x14ac:dyDescent="0.25">
      <c r="A190" s="225"/>
      <c r="B190" s="321" t="s">
        <v>251</v>
      </c>
      <c r="C190" s="51">
        <v>45734</v>
      </c>
      <c r="D190" s="34" t="s">
        <v>269</v>
      </c>
      <c r="E190" s="126">
        <v>11199.1</v>
      </c>
      <c r="F190" s="14"/>
      <c r="G190" s="7" t="s">
        <v>253</v>
      </c>
      <c r="H190" s="7" t="s">
        <v>290</v>
      </c>
      <c r="I190" s="41">
        <v>45824</v>
      </c>
      <c r="J190" s="176" t="s">
        <v>298</v>
      </c>
      <c r="K190" s="176"/>
      <c r="L190" s="7">
        <v>8</v>
      </c>
      <c r="M190" s="180" t="s">
        <v>254</v>
      </c>
      <c r="N190" s="180"/>
      <c r="O190" s="79">
        <v>4408</v>
      </c>
    </row>
    <row r="191" spans="1:15" x14ac:dyDescent="0.25">
      <c r="A191" s="225"/>
      <c r="B191" s="311"/>
      <c r="C191" s="114"/>
      <c r="D191" s="140"/>
      <c r="E191" s="125"/>
      <c r="F191" s="14"/>
      <c r="G191" s="174" t="s">
        <v>129</v>
      </c>
      <c r="H191" s="174"/>
      <c r="I191" s="174"/>
      <c r="J191" s="174"/>
      <c r="K191" s="174"/>
      <c r="L191" s="174"/>
      <c r="M191" s="174"/>
      <c r="N191" s="174"/>
      <c r="O191" s="142">
        <v>32007.51</v>
      </c>
    </row>
    <row r="192" spans="1:15" ht="39" x14ac:dyDescent="0.25">
      <c r="A192" s="225"/>
      <c r="B192" s="312" t="s">
        <v>255</v>
      </c>
      <c r="C192" s="51">
        <v>45761</v>
      </c>
      <c r="D192" s="34" t="s">
        <v>270</v>
      </c>
      <c r="E192" s="129">
        <v>5138.8</v>
      </c>
      <c r="F192" s="14"/>
      <c r="G192" s="143"/>
      <c r="H192" s="347"/>
      <c r="I192" s="347"/>
      <c r="J192" s="347"/>
      <c r="K192" s="347"/>
      <c r="L192" s="347"/>
      <c r="M192" s="348"/>
      <c r="N192" s="310"/>
      <c r="O192" s="275"/>
    </row>
    <row r="193" spans="1:15" x14ac:dyDescent="0.25">
      <c r="A193" s="225"/>
      <c r="B193" s="349"/>
      <c r="C193" s="124"/>
      <c r="D193" s="34"/>
      <c r="E193" s="130"/>
      <c r="F193" s="14"/>
      <c r="G193" s="38"/>
      <c r="H193" s="310"/>
      <c r="I193" s="310"/>
      <c r="J193" s="310"/>
      <c r="K193" s="310"/>
      <c r="L193" s="310"/>
      <c r="M193" s="310"/>
      <c r="N193" s="310"/>
      <c r="O193" s="275"/>
    </row>
    <row r="194" spans="1:15" ht="58.5" x14ac:dyDescent="0.25">
      <c r="A194" s="225"/>
      <c r="B194" s="312" t="s">
        <v>256</v>
      </c>
      <c r="C194" s="51">
        <v>45761</v>
      </c>
      <c r="D194" s="34" t="s">
        <v>271</v>
      </c>
      <c r="E194" s="129">
        <v>5138.8</v>
      </c>
      <c r="F194" s="14"/>
      <c r="G194" s="38"/>
      <c r="H194" s="310"/>
      <c r="I194" s="310"/>
      <c r="J194" s="310"/>
      <c r="K194" s="310"/>
      <c r="L194" s="310"/>
      <c r="M194" s="310"/>
      <c r="N194" s="310"/>
      <c r="O194" s="275"/>
    </row>
    <row r="195" spans="1:15" x14ac:dyDescent="0.25">
      <c r="A195" s="225"/>
      <c r="B195" s="349"/>
      <c r="C195" s="124"/>
      <c r="D195" s="34"/>
      <c r="E195" s="130"/>
      <c r="F195" s="14"/>
      <c r="G195" s="38"/>
      <c r="H195" s="310"/>
      <c r="I195" s="310"/>
      <c r="J195" s="310"/>
      <c r="K195" s="310"/>
      <c r="L195" s="310"/>
      <c r="M195" s="310"/>
      <c r="N195" s="310"/>
      <c r="O195" s="275"/>
    </row>
    <row r="196" spans="1:15" ht="48.75" x14ac:dyDescent="0.25">
      <c r="A196" s="225"/>
      <c r="B196" s="312" t="s">
        <v>257</v>
      </c>
      <c r="C196" s="51">
        <v>45776</v>
      </c>
      <c r="D196" s="34" t="s">
        <v>272</v>
      </c>
      <c r="E196" s="129">
        <v>8120</v>
      </c>
      <c r="F196" s="14"/>
      <c r="G196" s="83"/>
      <c r="H196" s="310"/>
      <c r="I196" s="310"/>
      <c r="J196" s="310"/>
      <c r="K196" s="310"/>
      <c r="L196" s="310"/>
      <c r="M196" s="310"/>
      <c r="N196" s="310"/>
      <c r="O196" s="275"/>
    </row>
    <row r="197" spans="1:15" ht="22.9" customHeight="1" x14ac:dyDescent="0.25">
      <c r="A197" s="225"/>
      <c r="B197" s="350"/>
      <c r="C197" s="138"/>
      <c r="D197" s="34"/>
      <c r="E197" s="131"/>
      <c r="F197" s="14"/>
      <c r="G197" s="83"/>
      <c r="H197" s="310"/>
      <c r="I197" s="310"/>
      <c r="J197" s="310"/>
      <c r="K197" s="310"/>
      <c r="L197" s="310"/>
      <c r="M197" s="310"/>
      <c r="N197" s="310"/>
      <c r="O197" s="275"/>
    </row>
    <row r="198" spans="1:15" ht="58.5" x14ac:dyDescent="0.25">
      <c r="A198" s="225"/>
      <c r="B198" s="312" t="s">
        <v>258</v>
      </c>
      <c r="C198" s="51">
        <v>45775</v>
      </c>
      <c r="D198" s="34" t="s">
        <v>273</v>
      </c>
      <c r="E198" s="129">
        <v>8120</v>
      </c>
      <c r="F198" s="14"/>
      <c r="G198" s="83"/>
      <c r="H198" s="310"/>
      <c r="I198" s="310"/>
      <c r="J198" s="310"/>
      <c r="K198" s="310"/>
      <c r="L198" s="310"/>
      <c r="M198" s="310"/>
      <c r="N198" s="310"/>
      <c r="O198" s="275"/>
    </row>
    <row r="199" spans="1:15" x14ac:dyDescent="0.25">
      <c r="A199" s="225"/>
      <c r="B199" s="339"/>
      <c r="C199" s="43"/>
      <c r="D199" s="34"/>
      <c r="E199" s="132"/>
      <c r="F199" s="14"/>
      <c r="G199" s="83"/>
      <c r="H199" s="310"/>
      <c r="I199" s="310"/>
      <c r="J199" s="310"/>
      <c r="K199" s="310"/>
      <c r="L199" s="310"/>
      <c r="M199" s="310"/>
      <c r="N199" s="310"/>
      <c r="O199" s="275"/>
    </row>
    <row r="200" spans="1:15" ht="39" x14ac:dyDescent="0.25">
      <c r="A200" s="225"/>
      <c r="B200" s="312" t="s">
        <v>259</v>
      </c>
      <c r="C200" s="51">
        <v>45796</v>
      </c>
      <c r="D200" s="34" t="s">
        <v>274</v>
      </c>
      <c r="E200" s="129">
        <v>11199.1</v>
      </c>
      <c r="F200" s="14"/>
      <c r="G200" s="83"/>
      <c r="H200" s="310"/>
      <c r="I200" s="310"/>
      <c r="J200" s="310"/>
      <c r="K200" s="310"/>
      <c r="L200" s="310"/>
      <c r="M200" s="310"/>
      <c r="N200" s="310"/>
      <c r="O200" s="275"/>
    </row>
    <row r="201" spans="1:15" x14ac:dyDescent="0.25">
      <c r="A201" s="225"/>
      <c r="B201" s="339"/>
      <c r="C201" s="43"/>
      <c r="D201" s="34"/>
      <c r="E201" s="132"/>
      <c r="F201" s="14"/>
      <c r="G201" s="191"/>
      <c r="H201" s="310"/>
      <c r="I201" s="310"/>
      <c r="J201" s="310"/>
      <c r="K201" s="310"/>
      <c r="L201" s="310"/>
      <c r="M201" s="310"/>
      <c r="N201" s="310"/>
      <c r="O201" s="93"/>
    </row>
    <row r="202" spans="1:15" ht="29.25" x14ac:dyDescent="0.25">
      <c r="A202" s="225"/>
      <c r="B202" s="312" t="s">
        <v>260</v>
      </c>
      <c r="C202" s="51">
        <v>45793</v>
      </c>
      <c r="D202" s="34" t="s">
        <v>275</v>
      </c>
      <c r="E202" s="129">
        <v>11199.1</v>
      </c>
      <c r="F202" s="14"/>
      <c r="G202" s="191"/>
      <c r="H202" s="310"/>
      <c r="I202" s="310"/>
      <c r="J202" s="310"/>
      <c r="K202" s="310"/>
      <c r="L202" s="310"/>
      <c r="M202" s="310"/>
      <c r="N202" s="310"/>
      <c r="O202" s="275"/>
    </row>
    <row r="203" spans="1:15" x14ac:dyDescent="0.25">
      <c r="A203" s="225"/>
      <c r="B203" s="339"/>
      <c r="C203" s="43"/>
      <c r="D203" s="34"/>
      <c r="E203" s="132"/>
      <c r="F203" s="14"/>
      <c r="G203" s="191"/>
      <c r="H203" s="349"/>
      <c r="I203" s="349"/>
      <c r="J203" s="349"/>
      <c r="K203" s="349"/>
      <c r="L203" s="310"/>
      <c r="M203" s="351"/>
      <c r="N203" s="310"/>
      <c r="O203" s="275"/>
    </row>
    <row r="204" spans="1:15" ht="48.75" x14ac:dyDescent="0.25">
      <c r="A204" s="225"/>
      <c r="B204" s="312" t="s">
        <v>261</v>
      </c>
      <c r="C204" s="51">
        <v>45793</v>
      </c>
      <c r="D204" s="34" t="s">
        <v>276</v>
      </c>
      <c r="E204" s="129">
        <v>8816</v>
      </c>
      <c r="F204" s="14"/>
      <c r="G204" s="191"/>
      <c r="H204" s="349"/>
      <c r="I204" s="349"/>
      <c r="J204" s="349"/>
      <c r="K204" s="349"/>
      <c r="L204" s="352"/>
      <c r="M204" s="351"/>
      <c r="N204" s="352"/>
      <c r="O204" s="275"/>
    </row>
    <row r="205" spans="1:15" x14ac:dyDescent="0.25">
      <c r="A205" s="225"/>
      <c r="B205" s="339"/>
      <c r="C205" s="43"/>
      <c r="D205" s="34"/>
      <c r="E205" s="132"/>
      <c r="F205" s="14"/>
      <c r="G205" s="191"/>
      <c r="H205" s="310"/>
      <c r="I205" s="310"/>
      <c r="J205" s="310"/>
      <c r="K205" s="310"/>
      <c r="L205" s="310"/>
      <c r="M205" s="310"/>
      <c r="N205" s="310"/>
      <c r="O205" s="275"/>
    </row>
    <row r="206" spans="1:15" ht="58.5" x14ac:dyDescent="0.25">
      <c r="A206" s="225"/>
      <c r="B206" s="134" t="s">
        <v>262</v>
      </c>
      <c r="C206" s="74">
        <v>45793</v>
      </c>
      <c r="D206" s="141" t="s">
        <v>277</v>
      </c>
      <c r="E206" s="135">
        <v>8816</v>
      </c>
      <c r="F206" s="15"/>
      <c r="G206" s="265"/>
      <c r="H206" s="65"/>
      <c r="I206" s="65"/>
      <c r="J206" s="65"/>
      <c r="K206" s="65"/>
      <c r="L206" s="65"/>
      <c r="M206" s="65"/>
      <c r="N206" s="65"/>
      <c r="O206" s="136"/>
    </row>
    <row r="207" spans="1:15" ht="44.45" customHeight="1" x14ac:dyDescent="0.25">
      <c r="A207" s="225"/>
      <c r="B207" s="137" t="s">
        <v>37</v>
      </c>
      <c r="C207" s="371" t="s">
        <v>263</v>
      </c>
      <c r="D207" s="354"/>
      <c r="E207" s="354"/>
      <c r="F207" s="354"/>
      <c r="G207" s="354"/>
      <c r="H207" s="354"/>
      <c r="I207" s="354"/>
      <c r="J207" s="354"/>
      <c r="K207" s="354"/>
      <c r="L207" s="354"/>
      <c r="M207" s="354"/>
      <c r="N207" s="354"/>
      <c r="O207" s="355"/>
    </row>
    <row r="208" spans="1:15" ht="36.6" customHeight="1" x14ac:dyDescent="0.25">
      <c r="A208" s="286"/>
      <c r="B208" s="137" t="s">
        <v>39</v>
      </c>
      <c r="C208" s="372" t="s">
        <v>381</v>
      </c>
      <c r="D208" s="372"/>
      <c r="E208" s="372"/>
      <c r="F208" s="372"/>
      <c r="G208" s="372"/>
      <c r="H208" s="372"/>
      <c r="I208" s="372"/>
      <c r="J208" s="372"/>
      <c r="K208" s="372"/>
      <c r="L208" s="372"/>
      <c r="M208" s="372"/>
      <c r="N208" s="372"/>
      <c r="O208" s="373"/>
    </row>
    <row r="209" spans="1:15" ht="31.9" customHeight="1" x14ac:dyDescent="0.25">
      <c r="A209" s="172">
        <v>9</v>
      </c>
      <c r="B209" s="280" t="s">
        <v>301</v>
      </c>
      <c r="C209" s="282">
        <v>45751</v>
      </c>
      <c r="D209" s="145" t="s">
        <v>145</v>
      </c>
      <c r="E209" s="284">
        <v>71920</v>
      </c>
      <c r="F209" s="235"/>
      <c r="G209" s="211" t="s">
        <v>303</v>
      </c>
      <c r="H209" s="212"/>
      <c r="I209" s="212"/>
      <c r="J209" s="212"/>
      <c r="K209" s="212"/>
      <c r="L209" s="212"/>
      <c r="M209" s="212"/>
      <c r="N209" s="212"/>
      <c r="O209" s="213"/>
    </row>
    <row r="210" spans="1:15" ht="58.5" x14ac:dyDescent="0.25">
      <c r="A210" s="173"/>
      <c r="B210" s="281"/>
      <c r="C210" s="283"/>
      <c r="D210" s="71" t="s">
        <v>304</v>
      </c>
      <c r="E210" s="285"/>
      <c r="F210" s="221"/>
      <c r="G210" s="214"/>
      <c r="H210" s="181"/>
      <c r="I210" s="181"/>
      <c r="J210" s="181"/>
      <c r="K210" s="181"/>
      <c r="L210" s="181"/>
      <c r="M210" s="181"/>
      <c r="N210" s="181"/>
      <c r="O210" s="215"/>
    </row>
    <row r="211" spans="1:15" ht="87.75" x14ac:dyDescent="0.25">
      <c r="A211" s="173"/>
      <c r="B211" s="148" t="s">
        <v>302</v>
      </c>
      <c r="C211" s="146">
        <v>45740</v>
      </c>
      <c r="D211" s="149" t="s">
        <v>305</v>
      </c>
      <c r="E211" s="150">
        <v>71920</v>
      </c>
      <c r="F211" s="221"/>
      <c r="G211" s="277"/>
      <c r="H211" s="278"/>
      <c r="I211" s="278"/>
      <c r="J211" s="278"/>
      <c r="K211" s="278"/>
      <c r="L211" s="278"/>
      <c r="M211" s="278"/>
      <c r="N211" s="278"/>
      <c r="O211" s="279"/>
    </row>
    <row r="212" spans="1:15" ht="44.45" customHeight="1" x14ac:dyDescent="0.25">
      <c r="A212" s="225"/>
      <c r="B212" s="147" t="s">
        <v>37</v>
      </c>
      <c r="C212" s="276" t="s">
        <v>306</v>
      </c>
      <c r="D212" s="276"/>
      <c r="E212" s="276"/>
      <c r="F212" s="276"/>
      <c r="G212" s="276"/>
      <c r="H212" s="276"/>
      <c r="I212" s="276"/>
      <c r="J212" s="276"/>
      <c r="K212" s="276"/>
      <c r="L212" s="276"/>
      <c r="M212" s="276"/>
      <c r="N212" s="276"/>
      <c r="O212" s="276"/>
    </row>
    <row r="213" spans="1:15" ht="37.15" customHeight="1" x14ac:dyDescent="0.25">
      <c r="A213" s="225"/>
      <c r="B213" s="152" t="s">
        <v>39</v>
      </c>
      <c r="C213" s="273" t="s">
        <v>375</v>
      </c>
      <c r="D213" s="273"/>
      <c r="E213" s="273"/>
      <c r="F213" s="273"/>
      <c r="G213" s="273"/>
      <c r="H213" s="273"/>
      <c r="I213" s="273"/>
      <c r="J213" s="273"/>
      <c r="K213" s="273"/>
      <c r="L213" s="273"/>
      <c r="M213" s="273"/>
      <c r="N213" s="273"/>
      <c r="O213" s="274"/>
    </row>
    <row r="214" spans="1:15" ht="31.9" customHeight="1" x14ac:dyDescent="0.25">
      <c r="A214" s="224">
        <v>10</v>
      </c>
      <c r="B214" s="18"/>
      <c r="C214" s="16"/>
      <c r="D214" s="139" t="s">
        <v>145</v>
      </c>
      <c r="E214" s="16"/>
      <c r="F214" s="235"/>
      <c r="G214" s="211" t="s">
        <v>314</v>
      </c>
      <c r="H214" s="212"/>
      <c r="I214" s="212"/>
      <c r="J214" s="212"/>
      <c r="K214" s="212"/>
      <c r="L214" s="212"/>
      <c r="M214" s="212"/>
      <c r="N214" s="212"/>
      <c r="O214" s="213"/>
    </row>
    <row r="215" spans="1:15" ht="27" customHeight="1" x14ac:dyDescent="0.25">
      <c r="A215" s="225"/>
      <c r="B215" s="153" t="s">
        <v>307</v>
      </c>
      <c r="C215" s="91">
        <v>45771</v>
      </c>
      <c r="D215" s="217" t="s">
        <v>315</v>
      </c>
      <c r="E215" s="144">
        <v>20880</v>
      </c>
      <c r="F215" s="221"/>
      <c r="G215" s="214"/>
      <c r="H215" s="181"/>
      <c r="I215" s="181"/>
      <c r="J215" s="181"/>
      <c r="K215" s="181"/>
      <c r="L215" s="181"/>
      <c r="M215" s="181"/>
      <c r="N215" s="181"/>
      <c r="O215" s="215"/>
    </row>
    <row r="216" spans="1:15" ht="48" customHeight="1" x14ac:dyDescent="0.25">
      <c r="A216" s="225"/>
      <c r="B216" s="19"/>
      <c r="C216" s="17"/>
      <c r="D216" s="217"/>
      <c r="E216" s="17"/>
      <c r="F216" s="221"/>
      <c r="G216" s="214"/>
      <c r="H216" s="181"/>
      <c r="I216" s="181"/>
      <c r="J216" s="181"/>
      <c r="K216" s="181"/>
      <c r="L216" s="181"/>
      <c r="M216" s="181"/>
      <c r="N216" s="181"/>
      <c r="O216" s="215"/>
    </row>
    <row r="217" spans="1:15" ht="78" x14ac:dyDescent="0.25">
      <c r="A217" s="225"/>
      <c r="B217" s="153" t="s">
        <v>308</v>
      </c>
      <c r="C217" s="91">
        <v>45771</v>
      </c>
      <c r="D217" s="34" t="s">
        <v>316</v>
      </c>
      <c r="E217" s="144">
        <v>20880</v>
      </c>
      <c r="F217" s="221"/>
      <c r="G217" s="214"/>
      <c r="H217" s="181"/>
      <c r="I217" s="181"/>
      <c r="J217" s="181"/>
      <c r="K217" s="181"/>
      <c r="L217" s="181"/>
      <c r="M217" s="181"/>
      <c r="N217" s="181"/>
      <c r="O217" s="215"/>
    </row>
    <row r="218" spans="1:15" ht="24.75" x14ac:dyDescent="0.25">
      <c r="A218" s="225"/>
      <c r="B218" s="19"/>
      <c r="C218" s="17"/>
      <c r="D218" s="34"/>
      <c r="E218" s="17"/>
      <c r="F218" s="221"/>
      <c r="G218" s="26"/>
      <c r="H218" s="6" t="s">
        <v>92</v>
      </c>
      <c r="I218" s="6" t="s">
        <v>113</v>
      </c>
      <c r="J218" s="6" t="s">
        <v>366</v>
      </c>
      <c r="K218" s="6" t="s">
        <v>93</v>
      </c>
      <c r="L218" s="6" t="s">
        <v>101</v>
      </c>
      <c r="M218" s="6" t="s">
        <v>96</v>
      </c>
      <c r="O218" s="25"/>
    </row>
    <row r="219" spans="1:15" ht="58.5" x14ac:dyDescent="0.25">
      <c r="A219" s="225"/>
      <c r="B219" s="153" t="s">
        <v>309</v>
      </c>
      <c r="C219" s="91">
        <v>45804</v>
      </c>
      <c r="D219" s="34" t="s">
        <v>317</v>
      </c>
      <c r="E219" s="144">
        <v>41760</v>
      </c>
      <c r="F219" s="221"/>
      <c r="G219" s="26"/>
      <c r="H219" s="6" t="s">
        <v>367</v>
      </c>
      <c r="I219" s="6" t="s">
        <v>362</v>
      </c>
      <c r="J219" s="6">
        <v>45770</v>
      </c>
      <c r="K219" s="6" t="s">
        <v>364</v>
      </c>
      <c r="L219" s="304">
        <v>45771</v>
      </c>
      <c r="M219" s="304">
        <v>10440</v>
      </c>
      <c r="O219" s="25"/>
    </row>
    <row r="220" spans="1:15" ht="24.75" x14ac:dyDescent="0.25">
      <c r="A220" s="225"/>
      <c r="B220" s="19"/>
      <c r="C220" s="17"/>
      <c r="D220" s="154"/>
      <c r="E220" s="17"/>
      <c r="F220" s="221"/>
      <c r="G220" s="26"/>
      <c r="H220" s="6" t="s">
        <v>368</v>
      </c>
      <c r="I220" s="6" t="s">
        <v>363</v>
      </c>
      <c r="J220" s="6">
        <v>45804</v>
      </c>
      <c r="K220" s="6" t="s">
        <v>365</v>
      </c>
      <c r="L220" s="304">
        <v>45806</v>
      </c>
      <c r="M220" s="304">
        <v>20880</v>
      </c>
      <c r="O220" s="25"/>
    </row>
    <row r="221" spans="1:15" x14ac:dyDescent="0.25">
      <c r="A221" s="225"/>
      <c r="B221" s="153" t="s">
        <v>310</v>
      </c>
      <c r="C221" s="91">
        <v>45804</v>
      </c>
      <c r="D221" s="34" t="s">
        <v>311</v>
      </c>
      <c r="E221" s="144">
        <v>41760</v>
      </c>
      <c r="F221" s="221"/>
      <c r="G221" s="26"/>
      <c r="H221" s="174" t="s">
        <v>369</v>
      </c>
      <c r="I221" s="174"/>
      <c r="J221" s="174"/>
      <c r="K221" s="174"/>
      <c r="L221" s="174"/>
      <c r="M221" s="304">
        <f>SUM(M219:M220)</f>
        <v>31320</v>
      </c>
      <c r="O221" s="25"/>
    </row>
    <row r="222" spans="1:15" x14ac:dyDescent="0.25">
      <c r="A222" s="225"/>
      <c r="B222" s="19"/>
      <c r="C222" s="17"/>
      <c r="D222" s="34" t="s">
        <v>312</v>
      </c>
      <c r="E222" s="17"/>
      <c r="F222" s="221"/>
      <c r="G222" s="26"/>
      <c r="O222" s="25"/>
    </row>
    <row r="223" spans="1:15" ht="58.5" x14ac:dyDescent="0.25">
      <c r="A223" s="225"/>
      <c r="B223" s="19"/>
      <c r="C223" s="17"/>
      <c r="D223" s="141" t="s">
        <v>313</v>
      </c>
      <c r="E223" s="17"/>
      <c r="F223" s="222"/>
      <c r="G223" s="151"/>
      <c r="H223" s="65"/>
      <c r="I223" s="65"/>
      <c r="J223" s="65"/>
      <c r="K223" s="65"/>
      <c r="L223" s="65"/>
      <c r="M223" s="65"/>
      <c r="N223" s="65"/>
      <c r="O223" s="77"/>
    </row>
    <row r="224" spans="1:15" ht="48" customHeight="1" x14ac:dyDescent="0.25">
      <c r="A224" s="225"/>
      <c r="B224" s="40" t="s">
        <v>37</v>
      </c>
      <c r="C224" s="354" t="s">
        <v>306</v>
      </c>
      <c r="D224" s="354"/>
      <c r="E224" s="354"/>
      <c r="F224" s="354"/>
      <c r="G224" s="372"/>
      <c r="H224" s="372"/>
      <c r="I224" s="372"/>
      <c r="J224" s="372"/>
      <c r="K224" s="372"/>
      <c r="L224" s="372"/>
      <c r="M224" s="372"/>
      <c r="N224" s="372"/>
      <c r="O224" s="373"/>
    </row>
    <row r="225" spans="1:15" ht="42" customHeight="1" x14ac:dyDescent="0.25">
      <c r="A225" s="286"/>
      <c r="B225" s="90" t="s">
        <v>39</v>
      </c>
      <c r="C225" s="372" t="s">
        <v>382</v>
      </c>
      <c r="D225" s="372"/>
      <c r="E225" s="372"/>
      <c r="F225" s="372"/>
      <c r="G225" s="372"/>
      <c r="H225" s="372"/>
      <c r="I225" s="372"/>
      <c r="J225" s="372"/>
      <c r="K225" s="372"/>
      <c r="L225" s="372"/>
      <c r="M225" s="372"/>
      <c r="N225" s="372"/>
      <c r="O225" s="373"/>
    </row>
    <row r="226" spans="1:15" ht="34.9" customHeight="1" x14ac:dyDescent="0.25">
      <c r="A226" s="224">
        <v>11</v>
      </c>
      <c r="B226" s="18"/>
      <c r="C226" s="16"/>
      <c r="D226" s="139" t="s">
        <v>145</v>
      </c>
      <c r="E226" s="16"/>
      <c r="F226" s="235"/>
      <c r="G226" s="212" t="s">
        <v>320</v>
      </c>
      <c r="H226" s="212"/>
      <c r="I226" s="212"/>
      <c r="J226" s="212"/>
      <c r="K226" s="212"/>
      <c r="L226" s="212"/>
      <c r="M226" s="212"/>
      <c r="N226" s="212"/>
      <c r="O226" s="213"/>
    </row>
    <row r="227" spans="1:15" ht="41.45" customHeight="1" x14ac:dyDescent="0.25">
      <c r="A227" s="225"/>
      <c r="B227" s="148" t="s">
        <v>318</v>
      </c>
      <c r="C227" s="32">
        <v>45820</v>
      </c>
      <c r="D227" s="141" t="s">
        <v>319</v>
      </c>
      <c r="E227" s="144">
        <v>37584</v>
      </c>
      <c r="F227" s="222"/>
      <c r="G227" s="181"/>
      <c r="H227" s="181"/>
      <c r="I227" s="181"/>
      <c r="J227" s="181"/>
      <c r="K227" s="181"/>
      <c r="L227" s="181"/>
      <c r="M227" s="181"/>
      <c r="N227" s="181"/>
      <c r="O227" s="215"/>
    </row>
    <row r="228" spans="1:15" ht="48.6" customHeight="1" x14ac:dyDescent="0.25">
      <c r="A228" s="225"/>
      <c r="B228" s="155" t="s">
        <v>37</v>
      </c>
      <c r="C228" s="371" t="s">
        <v>200</v>
      </c>
      <c r="D228" s="354"/>
      <c r="E228" s="354"/>
      <c r="F228" s="354"/>
      <c r="G228" s="354"/>
      <c r="H228" s="354"/>
      <c r="I228" s="354"/>
      <c r="J228" s="354"/>
      <c r="K228" s="354"/>
      <c r="L228" s="354"/>
      <c r="M228" s="354"/>
      <c r="N228" s="354"/>
      <c r="O228" s="355"/>
    </row>
    <row r="229" spans="1:15" ht="66" customHeight="1" x14ac:dyDescent="0.25">
      <c r="A229" s="286"/>
      <c r="B229" s="156" t="s">
        <v>39</v>
      </c>
      <c r="C229" s="382" t="s">
        <v>383</v>
      </c>
      <c r="D229" s="372"/>
      <c r="E229" s="372"/>
      <c r="F229" s="372"/>
      <c r="G229" s="372"/>
      <c r="H229" s="372"/>
      <c r="I229" s="372"/>
      <c r="J229" s="372"/>
      <c r="K229" s="372"/>
      <c r="L229" s="372"/>
      <c r="M229" s="372"/>
      <c r="N229" s="372"/>
      <c r="O229" s="373"/>
    </row>
  </sheetData>
  <mergeCells count="301">
    <mergeCell ref="J190:K190"/>
    <mergeCell ref="H221:L221"/>
    <mergeCell ref="J186:K186"/>
    <mergeCell ref="J187:K187"/>
    <mergeCell ref="J188:K188"/>
    <mergeCell ref="J189:K189"/>
    <mergeCell ref="A1:O1"/>
    <mergeCell ref="A2:O2"/>
    <mergeCell ref="A3:O3"/>
    <mergeCell ref="A4:O4"/>
    <mergeCell ref="L6:O6"/>
    <mergeCell ref="K7:O7"/>
    <mergeCell ref="G179:G182"/>
    <mergeCell ref="H179:H182"/>
    <mergeCell ref="I179:I182"/>
    <mergeCell ref="J179:K182"/>
    <mergeCell ref="D179:D180"/>
    <mergeCell ref="D181:D182"/>
    <mergeCell ref="M177:N177"/>
    <mergeCell ref="M179:N179"/>
    <mergeCell ref="M180:N180"/>
    <mergeCell ref="M181:N181"/>
    <mergeCell ref="M182:N182"/>
    <mergeCell ref="J178:K178"/>
    <mergeCell ref="J177:K177"/>
    <mergeCell ref="A209:A213"/>
    <mergeCell ref="C213:O213"/>
    <mergeCell ref="B209:B210"/>
    <mergeCell ref="C209:C210"/>
    <mergeCell ref="E209:E210"/>
    <mergeCell ref="F226:F227"/>
    <mergeCell ref="G214:O217"/>
    <mergeCell ref="G226:O227"/>
    <mergeCell ref="C228:O228"/>
    <mergeCell ref="A226:A229"/>
    <mergeCell ref="C224:O224"/>
    <mergeCell ref="C225:O225"/>
    <mergeCell ref="A214:A225"/>
    <mergeCell ref="D215:D216"/>
    <mergeCell ref="F214:F223"/>
    <mergeCell ref="C229:O229"/>
    <mergeCell ref="G201:G206"/>
    <mergeCell ref="O202:O203"/>
    <mergeCell ref="O204:O205"/>
    <mergeCell ref="O195:O196"/>
    <mergeCell ref="O197:O198"/>
    <mergeCell ref="O199:O200"/>
    <mergeCell ref="C207:O207"/>
    <mergeCell ref="C208:O208"/>
    <mergeCell ref="F209:F211"/>
    <mergeCell ref="G209:O211"/>
    <mergeCell ref="C212:O212"/>
    <mergeCell ref="G175:O175"/>
    <mergeCell ref="G176:O176"/>
    <mergeCell ref="O192:O194"/>
    <mergeCell ref="J166:M166"/>
    <mergeCell ref="J167:M167"/>
    <mergeCell ref="J168:M168"/>
    <mergeCell ref="J169:M169"/>
    <mergeCell ref="J170:M170"/>
    <mergeCell ref="J150:M150"/>
    <mergeCell ref="H171:N171"/>
    <mergeCell ref="C172:O172"/>
    <mergeCell ref="J157:M157"/>
    <mergeCell ref="J158:M158"/>
    <mergeCell ref="J159:M159"/>
    <mergeCell ref="J160:M160"/>
    <mergeCell ref="J161:M161"/>
    <mergeCell ref="J162:M162"/>
    <mergeCell ref="J163:M163"/>
    <mergeCell ref="J164:M164"/>
    <mergeCell ref="J165:M165"/>
    <mergeCell ref="J183:K185"/>
    <mergeCell ref="G191:N191"/>
    <mergeCell ref="M178:N178"/>
    <mergeCell ref="E184:E185"/>
    <mergeCell ref="G136:G141"/>
    <mergeCell ref="B136:B143"/>
    <mergeCell ref="C136:C143"/>
    <mergeCell ref="D136:D143"/>
    <mergeCell ref="E136:E143"/>
    <mergeCell ref="M126:N126"/>
    <mergeCell ref="C173:O173"/>
    <mergeCell ref="A146:A173"/>
    <mergeCell ref="G174:O174"/>
    <mergeCell ref="A174:A208"/>
    <mergeCell ref="D183:D185"/>
    <mergeCell ref="C183:C185"/>
    <mergeCell ref="B183:B185"/>
    <mergeCell ref="G183:G185"/>
    <mergeCell ref="M187:N187"/>
    <mergeCell ref="M188:N188"/>
    <mergeCell ref="M189:N189"/>
    <mergeCell ref="M190:N190"/>
    <mergeCell ref="H183:H185"/>
    <mergeCell ref="I183:I185"/>
    <mergeCell ref="M183:N183"/>
    <mergeCell ref="M184:N184"/>
    <mergeCell ref="M185:N185"/>
    <mergeCell ref="M186:N186"/>
    <mergeCell ref="F146:F149"/>
    <mergeCell ref="B157:B171"/>
    <mergeCell ref="C157:C171"/>
    <mergeCell ref="D157:D171"/>
    <mergeCell ref="E157:E171"/>
    <mergeCell ref="F157:F171"/>
    <mergeCell ref="G157:G171"/>
    <mergeCell ref="G146:O149"/>
    <mergeCell ref="D149:D151"/>
    <mergeCell ref="J151:M151"/>
    <mergeCell ref="J152:M152"/>
    <mergeCell ref="J153:M153"/>
    <mergeCell ref="J154:M154"/>
    <mergeCell ref="J155:M155"/>
    <mergeCell ref="J156:M156"/>
    <mergeCell ref="A12:A21"/>
    <mergeCell ref="C21:O21"/>
    <mergeCell ref="G9:O10"/>
    <mergeCell ref="D9:D10"/>
    <mergeCell ref="A9:A10"/>
    <mergeCell ref="E22:E28"/>
    <mergeCell ref="F22:F28"/>
    <mergeCell ref="G14:G15"/>
    <mergeCell ref="O14:O15"/>
    <mergeCell ref="D13:D17"/>
    <mergeCell ref="G12:O12"/>
    <mergeCell ref="C20:O20"/>
    <mergeCell ref="H14:H15"/>
    <mergeCell ref="I14:I15"/>
    <mergeCell ref="J14:J15"/>
    <mergeCell ref="K14:L14"/>
    <mergeCell ref="M14:N14"/>
    <mergeCell ref="B9:C9"/>
    <mergeCell ref="A11:O11"/>
    <mergeCell ref="E12:E19"/>
    <mergeCell ref="F12:F19"/>
    <mergeCell ref="G13:O13"/>
    <mergeCell ref="A22:A30"/>
    <mergeCell ref="G22:O22"/>
    <mergeCell ref="E31:E32"/>
    <mergeCell ref="F31:F32"/>
    <mergeCell ref="G31:O31"/>
    <mergeCell ref="G32:O32"/>
    <mergeCell ref="K26:M26"/>
    <mergeCell ref="K27:M27"/>
    <mergeCell ref="D23:D26"/>
    <mergeCell ref="K25:M25"/>
    <mergeCell ref="C30:O30"/>
    <mergeCell ref="C29:O29"/>
    <mergeCell ref="G28:O28"/>
    <mergeCell ref="L41:M41"/>
    <mergeCell ref="J39:K39"/>
    <mergeCell ref="J40:K40"/>
    <mergeCell ref="J41:K41"/>
    <mergeCell ref="J42:K42"/>
    <mergeCell ref="J43:K43"/>
    <mergeCell ref="J44:K44"/>
    <mergeCell ref="I34:I35"/>
    <mergeCell ref="J33:K33"/>
    <mergeCell ref="J34:K35"/>
    <mergeCell ref="J38:K38"/>
    <mergeCell ref="J36:K37"/>
    <mergeCell ref="I36:I37"/>
    <mergeCell ref="A50:A66"/>
    <mergeCell ref="C66:O66"/>
    <mergeCell ref="C47:O47"/>
    <mergeCell ref="C48:O48"/>
    <mergeCell ref="A31:A48"/>
    <mergeCell ref="D32:D36"/>
    <mergeCell ref="A49:O49"/>
    <mergeCell ref="F50:F59"/>
    <mergeCell ref="G50:O50"/>
    <mergeCell ref="L42:M42"/>
    <mergeCell ref="L43:M43"/>
    <mergeCell ref="L44:M44"/>
    <mergeCell ref="L45:M45"/>
    <mergeCell ref="L46:M46"/>
    <mergeCell ref="L37:M37"/>
    <mergeCell ref="J45:K45"/>
    <mergeCell ref="J46:K46"/>
    <mergeCell ref="L33:M33"/>
    <mergeCell ref="L34:M34"/>
    <mergeCell ref="L35:M35"/>
    <mergeCell ref="L36:M36"/>
    <mergeCell ref="L38:M38"/>
    <mergeCell ref="L39:M39"/>
    <mergeCell ref="L40:M40"/>
    <mergeCell ref="D60:D63"/>
    <mergeCell ref="D55:D59"/>
    <mergeCell ref="D51:D54"/>
    <mergeCell ref="I52:K52"/>
    <mergeCell ref="I53:K53"/>
    <mergeCell ref="I54:K54"/>
    <mergeCell ref="H55:N55"/>
    <mergeCell ref="C65:O65"/>
    <mergeCell ref="M53:M54"/>
    <mergeCell ref="F60:F64"/>
    <mergeCell ref="G60:G64"/>
    <mergeCell ref="F89:F90"/>
    <mergeCell ref="H72:I72"/>
    <mergeCell ref="H73:I73"/>
    <mergeCell ref="G67:O70"/>
    <mergeCell ref="H74:I74"/>
    <mergeCell ref="H75:I75"/>
    <mergeCell ref="F85:F87"/>
    <mergeCell ref="F67:F78"/>
    <mergeCell ref="B70:B75"/>
    <mergeCell ref="C70:C75"/>
    <mergeCell ref="E70:E75"/>
    <mergeCell ref="B76:B78"/>
    <mergeCell ref="C76:C78"/>
    <mergeCell ref="D76:D78"/>
    <mergeCell ref="G100:O100"/>
    <mergeCell ref="G99:O99"/>
    <mergeCell ref="G102:G120"/>
    <mergeCell ref="A67:A96"/>
    <mergeCell ref="H71:I71"/>
    <mergeCell ref="G76:L76"/>
    <mergeCell ref="G97:O98"/>
    <mergeCell ref="B68:B69"/>
    <mergeCell ref="C68:C69"/>
    <mergeCell ref="D68:D69"/>
    <mergeCell ref="E68:E69"/>
    <mergeCell ref="C95:O95"/>
    <mergeCell ref="C96:O96"/>
    <mergeCell ref="B93:B94"/>
    <mergeCell ref="C93:C94"/>
    <mergeCell ref="E93:E94"/>
    <mergeCell ref="F93:F94"/>
    <mergeCell ref="D70:D75"/>
    <mergeCell ref="D79:D85"/>
    <mergeCell ref="B89:B90"/>
    <mergeCell ref="C89:C90"/>
    <mergeCell ref="E89:E90"/>
    <mergeCell ref="D99:D101"/>
    <mergeCell ref="D102:D104"/>
    <mergeCell ref="B121:B135"/>
    <mergeCell ref="C121:C135"/>
    <mergeCell ref="D121:D135"/>
    <mergeCell ref="E121:E135"/>
    <mergeCell ref="G121:G135"/>
    <mergeCell ref="M110:N110"/>
    <mergeCell ref="M111:N111"/>
    <mergeCell ref="M112:N112"/>
    <mergeCell ref="M113:N113"/>
    <mergeCell ref="I106:I123"/>
    <mergeCell ref="J106:J123"/>
    <mergeCell ref="K106:K123"/>
    <mergeCell ref="H106:H123"/>
    <mergeCell ref="M106:N106"/>
    <mergeCell ref="M107:N107"/>
    <mergeCell ref="M108:N108"/>
    <mergeCell ref="M109:N109"/>
    <mergeCell ref="L113:L114"/>
    <mergeCell ref="I103:I104"/>
    <mergeCell ref="J103:J104"/>
    <mergeCell ref="K103:K104"/>
    <mergeCell ref="L103:L104"/>
    <mergeCell ref="M103:N104"/>
    <mergeCell ref="M134:N134"/>
    <mergeCell ref="M135:N135"/>
    <mergeCell ref="M120:N120"/>
    <mergeCell ref="M121:N121"/>
    <mergeCell ref="M122:N122"/>
    <mergeCell ref="M123:N123"/>
    <mergeCell ref="M114:N114"/>
    <mergeCell ref="M115:N115"/>
    <mergeCell ref="M116:N116"/>
    <mergeCell ref="M117:N117"/>
    <mergeCell ref="M118:N118"/>
    <mergeCell ref="M119:N119"/>
    <mergeCell ref="H105:O105"/>
    <mergeCell ref="M127:N127"/>
    <mergeCell ref="M128:N128"/>
    <mergeCell ref="M129:N129"/>
    <mergeCell ref="O103:O104"/>
    <mergeCell ref="O113:O114"/>
    <mergeCell ref="C144:O144"/>
    <mergeCell ref="C145:O145"/>
    <mergeCell ref="A97:A145"/>
    <mergeCell ref="H142:N142"/>
    <mergeCell ref="H143:N143"/>
    <mergeCell ref="K126:K141"/>
    <mergeCell ref="I126:I141"/>
    <mergeCell ref="J126:J141"/>
    <mergeCell ref="H126:H141"/>
    <mergeCell ref="M141:N141"/>
    <mergeCell ref="D106:D110"/>
    <mergeCell ref="H125:O125"/>
    <mergeCell ref="H124:N124"/>
    <mergeCell ref="F97:F143"/>
    <mergeCell ref="M136:N136"/>
    <mergeCell ref="M137:N137"/>
    <mergeCell ref="M138:N138"/>
    <mergeCell ref="M139:N139"/>
    <mergeCell ref="M140:N140"/>
    <mergeCell ref="M130:N130"/>
    <mergeCell ref="M131:N131"/>
    <mergeCell ref="M132:N132"/>
    <mergeCell ref="M133:N133"/>
    <mergeCell ref="H103:H104"/>
  </mergeCells>
  <printOptions horizontalCentered="1"/>
  <pageMargins left="0.31496062992125984" right="0.31496062992125984" top="0.35433070866141736" bottom="0.35433070866141736" header="0.31496062992125984" footer="0.31496062992125984"/>
  <pageSetup scale="70" orientation="landscape" copies="2" r:id="rId1"/>
  <rowBreaks count="2" manualBreakCount="2">
    <brk id="21" max="16383" man="1"/>
    <brk id="48"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7F5A-1829-4956-AA3A-F169C21E7737}">
  <dimension ref="A1:O31"/>
  <sheetViews>
    <sheetView tabSelected="1" view="pageBreakPreview" topLeftCell="A22" zoomScale="130" zoomScaleNormal="100" zoomScaleSheetLayoutView="130" workbookViewId="0">
      <selection activeCell="G9" sqref="G9:O10"/>
    </sheetView>
  </sheetViews>
  <sheetFormatPr baseColWidth="10" defaultRowHeight="15" x14ac:dyDescent="0.25"/>
  <cols>
    <col min="2" max="2" width="15.140625" customWidth="1"/>
  </cols>
  <sheetData>
    <row r="1" spans="1:15" x14ac:dyDescent="0.25">
      <c r="A1" s="356" t="s">
        <v>321</v>
      </c>
      <c r="B1" s="357"/>
      <c r="C1" s="357"/>
      <c r="D1" s="357"/>
      <c r="E1" s="357"/>
      <c r="F1" s="357"/>
      <c r="G1" s="357"/>
      <c r="H1" s="357"/>
      <c r="I1" s="357"/>
      <c r="J1" s="357"/>
      <c r="K1" s="357"/>
      <c r="L1" s="357"/>
      <c r="M1" s="357"/>
      <c r="N1" s="357"/>
      <c r="O1" s="358"/>
    </row>
    <row r="2" spans="1:15" x14ac:dyDescent="0.25">
      <c r="A2" s="359" t="s">
        <v>322</v>
      </c>
      <c r="B2" s="360"/>
      <c r="C2" s="360"/>
      <c r="D2" s="360"/>
      <c r="E2" s="360"/>
      <c r="F2" s="360"/>
      <c r="G2" s="360"/>
      <c r="H2" s="360"/>
      <c r="I2" s="360"/>
      <c r="J2" s="360"/>
      <c r="K2" s="360"/>
      <c r="L2" s="360"/>
      <c r="M2" s="360"/>
      <c r="N2" s="360"/>
      <c r="O2" s="361"/>
    </row>
    <row r="3" spans="1:15" x14ac:dyDescent="0.25">
      <c r="A3" s="359" t="s">
        <v>323</v>
      </c>
      <c r="B3" s="360"/>
      <c r="C3" s="360"/>
      <c r="D3" s="360"/>
      <c r="E3" s="360"/>
      <c r="F3" s="360"/>
      <c r="G3" s="360"/>
      <c r="H3" s="360"/>
      <c r="I3" s="360"/>
      <c r="J3" s="360"/>
      <c r="K3" s="360"/>
      <c r="L3" s="360"/>
      <c r="M3" s="360"/>
      <c r="N3" s="360"/>
      <c r="O3" s="361"/>
    </row>
    <row r="4" spans="1:15" x14ac:dyDescent="0.25">
      <c r="A4" s="359" t="s">
        <v>324</v>
      </c>
      <c r="B4" s="360"/>
      <c r="C4" s="360"/>
      <c r="D4" s="360"/>
      <c r="E4" s="360"/>
      <c r="F4" s="360"/>
      <c r="G4" s="360"/>
      <c r="H4" s="360"/>
      <c r="I4" s="360"/>
      <c r="J4" s="360"/>
      <c r="K4" s="360"/>
      <c r="L4" s="360"/>
      <c r="M4" s="360"/>
      <c r="N4" s="360"/>
      <c r="O4" s="361"/>
    </row>
    <row r="5" spans="1:15" x14ac:dyDescent="0.25">
      <c r="A5" s="38"/>
      <c r="B5" s="310"/>
      <c r="C5" s="316"/>
      <c r="D5" s="310"/>
      <c r="E5" s="128"/>
      <c r="F5" s="310"/>
      <c r="G5" s="310"/>
      <c r="H5" s="310"/>
      <c r="I5" s="310"/>
      <c r="J5" s="310"/>
      <c r="K5" s="310"/>
      <c r="L5" s="310"/>
      <c r="M5" s="310"/>
      <c r="N5" s="310"/>
      <c r="O5" s="25"/>
    </row>
    <row r="6" spans="1:15" x14ac:dyDescent="0.25">
      <c r="A6" s="38" t="s">
        <v>371</v>
      </c>
      <c r="B6" s="310"/>
      <c r="C6" s="316"/>
      <c r="D6" s="310"/>
      <c r="E6" s="128"/>
      <c r="F6" s="310"/>
      <c r="G6" s="310"/>
      <c r="H6" s="310"/>
      <c r="I6" s="310"/>
      <c r="J6" s="362" t="s">
        <v>348</v>
      </c>
      <c r="K6" s="362"/>
      <c r="L6" s="362"/>
      <c r="M6" s="362"/>
      <c r="N6" s="362"/>
      <c r="O6" s="363"/>
    </row>
    <row r="7" spans="1:15" x14ac:dyDescent="0.25">
      <c r="A7" s="38" t="s">
        <v>327</v>
      </c>
      <c r="B7" s="310"/>
      <c r="C7" s="316"/>
      <c r="D7" s="310"/>
      <c r="E7" s="128"/>
      <c r="F7" s="310"/>
      <c r="G7" s="310"/>
      <c r="H7" s="310"/>
      <c r="I7" s="310"/>
      <c r="J7" s="310"/>
      <c r="K7" s="362" t="s">
        <v>326</v>
      </c>
      <c r="L7" s="362"/>
      <c r="M7" s="362"/>
      <c r="N7" s="362"/>
      <c r="O7" s="363"/>
    </row>
    <row r="8" spans="1:15" x14ac:dyDescent="0.25">
      <c r="A8" s="38"/>
      <c r="B8" s="310"/>
      <c r="C8" s="316"/>
      <c r="D8" s="310"/>
      <c r="E8" s="128"/>
      <c r="F8" s="310"/>
      <c r="G8" s="310"/>
      <c r="H8" s="310"/>
      <c r="I8" s="310"/>
      <c r="J8" s="310"/>
      <c r="K8" s="364"/>
      <c r="L8" s="364"/>
      <c r="M8" s="364"/>
      <c r="N8" s="364"/>
      <c r="O8" s="365"/>
    </row>
    <row r="9" spans="1:15" ht="18" x14ac:dyDescent="0.25">
      <c r="A9" s="158"/>
      <c r="B9" s="291" t="s">
        <v>1</v>
      </c>
      <c r="C9" s="291"/>
      <c r="D9" s="159"/>
      <c r="E9" s="160" t="s">
        <v>3</v>
      </c>
      <c r="F9" s="160" t="s">
        <v>5</v>
      </c>
      <c r="G9" s="297" t="s">
        <v>6</v>
      </c>
      <c r="H9" s="297"/>
      <c r="I9" s="297"/>
      <c r="J9" s="297"/>
      <c r="K9" s="297"/>
      <c r="L9" s="297"/>
      <c r="M9" s="297"/>
      <c r="N9" s="297"/>
      <c r="O9" s="297"/>
    </row>
    <row r="10" spans="1:15" ht="18" x14ac:dyDescent="0.25">
      <c r="A10" s="161" t="s">
        <v>0</v>
      </c>
      <c r="B10" s="160" t="s">
        <v>7</v>
      </c>
      <c r="C10" s="160" t="s">
        <v>8</v>
      </c>
      <c r="D10" s="162" t="s">
        <v>2</v>
      </c>
      <c r="E10" s="160" t="s">
        <v>4</v>
      </c>
      <c r="F10" s="160" t="s">
        <v>4</v>
      </c>
      <c r="G10" s="297"/>
      <c r="H10" s="297"/>
      <c r="I10" s="297"/>
      <c r="J10" s="297"/>
      <c r="K10" s="297"/>
      <c r="L10" s="297"/>
      <c r="M10" s="297"/>
      <c r="N10" s="297"/>
      <c r="O10" s="297"/>
    </row>
    <row r="11" spans="1:15" ht="28.15" customHeight="1" x14ac:dyDescent="0.25">
      <c r="A11" s="292" t="s">
        <v>328</v>
      </c>
      <c r="B11" s="293"/>
      <c r="C11" s="293"/>
      <c r="D11" s="293"/>
      <c r="E11" s="293"/>
      <c r="F11" s="293"/>
      <c r="G11" s="293"/>
      <c r="H11" s="293"/>
      <c r="I11" s="293"/>
      <c r="J11" s="293"/>
      <c r="K11" s="293"/>
      <c r="L11" s="293"/>
      <c r="M11" s="293"/>
      <c r="N11" s="293"/>
      <c r="O11" s="294"/>
    </row>
    <row r="12" spans="1:15" ht="105.6" customHeight="1" x14ac:dyDescent="0.25">
      <c r="A12" s="224">
        <v>1</v>
      </c>
      <c r="B12" s="35"/>
      <c r="C12" s="30"/>
      <c r="D12" s="370" t="s">
        <v>344</v>
      </c>
      <c r="E12" s="30"/>
      <c r="F12" s="253"/>
      <c r="G12" s="226" t="s">
        <v>343</v>
      </c>
      <c r="H12" s="203"/>
      <c r="I12" s="203"/>
      <c r="J12" s="203"/>
      <c r="K12" s="203"/>
      <c r="L12" s="203"/>
      <c r="M12" s="203"/>
      <c r="N12" s="203"/>
      <c r="O12" s="204"/>
    </row>
    <row r="13" spans="1:15" ht="15.6" customHeight="1" x14ac:dyDescent="0.25">
      <c r="A13" s="225"/>
      <c r="B13" s="308"/>
      <c r="C13" s="221"/>
      <c r="D13" s="366"/>
      <c r="E13" s="221"/>
      <c r="F13" s="308"/>
      <c r="G13" s="295" t="s">
        <v>329</v>
      </c>
      <c r="H13" s="367"/>
      <c r="I13" s="367"/>
      <c r="J13" s="367"/>
      <c r="K13" s="367"/>
      <c r="L13" s="367"/>
      <c r="M13" s="367"/>
      <c r="N13" s="367"/>
      <c r="O13" s="296"/>
    </row>
    <row r="14" spans="1:15" ht="15.6" customHeight="1" x14ac:dyDescent="0.25">
      <c r="A14" s="225"/>
      <c r="B14" s="308"/>
      <c r="C14" s="221"/>
      <c r="D14" s="368"/>
      <c r="E14" s="221"/>
      <c r="F14" s="308"/>
      <c r="G14" s="295" t="s">
        <v>330</v>
      </c>
      <c r="H14" s="367"/>
      <c r="I14" s="367"/>
      <c r="J14" s="367"/>
      <c r="K14" s="367"/>
      <c r="L14" s="367"/>
      <c r="M14" s="367"/>
      <c r="N14" s="367"/>
      <c r="O14" s="296"/>
    </row>
    <row r="15" spans="1:15" ht="15.6" customHeight="1" x14ac:dyDescent="0.25">
      <c r="A15" s="225"/>
      <c r="B15" s="350"/>
      <c r="C15" s="163"/>
      <c r="D15" s="366"/>
      <c r="E15" s="163"/>
      <c r="F15" s="308"/>
      <c r="G15" s="295" t="s">
        <v>331</v>
      </c>
      <c r="H15" s="367"/>
      <c r="I15" s="367"/>
      <c r="J15" s="367"/>
      <c r="K15" s="367"/>
      <c r="L15" s="367"/>
      <c r="M15" s="367"/>
      <c r="N15" s="367"/>
      <c r="O15" s="296"/>
    </row>
    <row r="16" spans="1:15" ht="15.6" customHeight="1" x14ac:dyDescent="0.25">
      <c r="A16" s="225"/>
      <c r="B16" s="350"/>
      <c r="C16" s="163"/>
      <c r="D16" s="368"/>
      <c r="E16" s="163"/>
      <c r="F16" s="308"/>
      <c r="G16" s="295" t="s">
        <v>332</v>
      </c>
      <c r="H16" s="367"/>
      <c r="I16" s="367"/>
      <c r="J16" s="367"/>
      <c r="K16" s="367"/>
      <c r="L16" s="367"/>
      <c r="M16" s="367"/>
      <c r="N16" s="367"/>
      <c r="O16" s="296"/>
    </row>
    <row r="17" spans="1:15" ht="15.6" customHeight="1" x14ac:dyDescent="0.25">
      <c r="A17" s="225"/>
      <c r="B17" s="350"/>
      <c r="C17" s="163"/>
      <c r="D17" s="217" t="s">
        <v>360</v>
      </c>
      <c r="E17" s="163"/>
      <c r="F17" s="308"/>
      <c r="G17" s="295" t="s">
        <v>333</v>
      </c>
      <c r="H17" s="367"/>
      <c r="I17" s="367"/>
      <c r="J17" s="367"/>
      <c r="K17" s="367"/>
      <c r="L17" s="367"/>
      <c r="M17" s="367"/>
      <c r="N17" s="367"/>
      <c r="O17" s="296"/>
    </row>
    <row r="18" spans="1:15" ht="15.6" customHeight="1" x14ac:dyDescent="0.25">
      <c r="A18" s="225"/>
      <c r="B18" s="331" t="s">
        <v>301</v>
      </c>
      <c r="C18" s="205">
        <v>45751</v>
      </c>
      <c r="D18" s="217"/>
      <c r="E18" s="301">
        <v>71920</v>
      </c>
      <c r="F18" s="308"/>
      <c r="G18" s="295" t="s">
        <v>334</v>
      </c>
      <c r="H18" s="367"/>
      <c r="I18" s="367"/>
      <c r="J18" s="367"/>
      <c r="K18" s="367"/>
      <c r="L18" s="367"/>
      <c r="M18" s="367"/>
      <c r="N18" s="367"/>
      <c r="O18" s="296"/>
    </row>
    <row r="19" spans="1:15" ht="15.6" customHeight="1" x14ac:dyDescent="0.25">
      <c r="A19" s="225"/>
      <c r="B19" s="331"/>
      <c r="C19" s="205"/>
      <c r="D19" s="217"/>
      <c r="E19" s="301"/>
      <c r="F19" s="308"/>
      <c r="G19" s="295" t="s">
        <v>335</v>
      </c>
      <c r="H19" s="367"/>
      <c r="I19" s="367"/>
      <c r="J19" s="367"/>
      <c r="K19" s="367"/>
      <c r="L19" s="367"/>
      <c r="M19" s="367"/>
      <c r="N19" s="367"/>
      <c r="O19" s="296"/>
    </row>
    <row r="20" spans="1:15" ht="15.6" customHeight="1" x14ac:dyDescent="0.25">
      <c r="A20" s="225"/>
      <c r="B20" s="331"/>
      <c r="C20" s="205"/>
      <c r="D20" s="217"/>
      <c r="E20" s="301"/>
      <c r="F20" s="308"/>
      <c r="G20" s="295" t="s">
        <v>336</v>
      </c>
      <c r="H20" s="367"/>
      <c r="I20" s="367"/>
      <c r="J20" s="367"/>
      <c r="K20" s="367"/>
      <c r="L20" s="367"/>
      <c r="M20" s="367"/>
      <c r="N20" s="367"/>
      <c r="O20" s="296"/>
    </row>
    <row r="21" spans="1:15" ht="15.6" customHeight="1" x14ac:dyDescent="0.25">
      <c r="A21" s="225"/>
      <c r="B21" s="312" t="s">
        <v>302</v>
      </c>
      <c r="C21" s="51">
        <v>45740</v>
      </c>
      <c r="D21" s="217" t="s">
        <v>361</v>
      </c>
      <c r="E21" s="75">
        <v>71920</v>
      </c>
      <c r="F21" s="308"/>
      <c r="G21" s="295" t="s">
        <v>337</v>
      </c>
      <c r="H21" s="367"/>
      <c r="I21" s="367"/>
      <c r="J21" s="367"/>
      <c r="K21" s="367"/>
      <c r="L21" s="367"/>
      <c r="M21" s="367"/>
      <c r="N21" s="367"/>
      <c r="O21" s="296"/>
    </row>
    <row r="22" spans="1:15" ht="15.6" customHeight="1" x14ac:dyDescent="0.25">
      <c r="A22" s="225"/>
      <c r="B22" s="350"/>
      <c r="C22" s="163"/>
      <c r="D22" s="217"/>
      <c r="E22" s="163"/>
      <c r="F22" s="308"/>
      <c r="G22" s="295" t="s">
        <v>338</v>
      </c>
      <c r="H22" s="367"/>
      <c r="I22" s="367"/>
      <c r="J22" s="367"/>
      <c r="K22" s="367"/>
      <c r="L22" s="367"/>
      <c r="M22" s="367"/>
      <c r="N22" s="367"/>
      <c r="O22" s="296"/>
    </row>
    <row r="23" spans="1:15" ht="15.6" customHeight="1" x14ac:dyDescent="0.25">
      <c r="A23" s="225"/>
      <c r="B23" s="350"/>
      <c r="C23" s="163"/>
      <c r="D23" s="217"/>
      <c r="E23" s="163"/>
      <c r="F23" s="308"/>
      <c r="G23" s="295" t="s">
        <v>339</v>
      </c>
      <c r="H23" s="367"/>
      <c r="I23" s="367"/>
      <c r="J23" s="367"/>
      <c r="K23" s="367"/>
      <c r="L23" s="367"/>
      <c r="M23" s="367"/>
      <c r="N23" s="367"/>
      <c r="O23" s="296"/>
    </row>
    <row r="24" spans="1:15" ht="15.6" customHeight="1" x14ac:dyDescent="0.25">
      <c r="A24" s="225"/>
      <c r="B24" s="350"/>
      <c r="C24" s="163"/>
      <c r="D24" s="217"/>
      <c r="E24" s="163"/>
      <c r="F24" s="308"/>
      <c r="G24" s="295" t="s">
        <v>340</v>
      </c>
      <c r="H24" s="367"/>
      <c r="I24" s="367"/>
      <c r="J24" s="367"/>
      <c r="K24" s="367"/>
      <c r="L24" s="367"/>
      <c r="M24" s="367"/>
      <c r="N24" s="367"/>
      <c r="O24" s="296"/>
    </row>
    <row r="25" spans="1:15" ht="15.6" customHeight="1" x14ac:dyDescent="0.25">
      <c r="A25" s="225"/>
      <c r="B25" s="308"/>
      <c r="C25" s="221"/>
      <c r="D25" s="369"/>
      <c r="E25" s="221"/>
      <c r="F25" s="308"/>
      <c r="G25" s="295" t="s">
        <v>341</v>
      </c>
      <c r="H25" s="367"/>
      <c r="I25" s="367"/>
      <c r="J25" s="367"/>
      <c r="K25" s="367"/>
      <c r="L25" s="367"/>
      <c r="M25" s="367"/>
      <c r="N25" s="367"/>
      <c r="O25" s="296"/>
    </row>
    <row r="26" spans="1:15" ht="15.6" customHeight="1" x14ac:dyDescent="0.25">
      <c r="A26" s="225"/>
      <c r="B26" s="308"/>
      <c r="C26" s="221"/>
      <c r="D26" s="369"/>
      <c r="E26" s="221"/>
      <c r="F26" s="308"/>
      <c r="G26" s="295" t="s">
        <v>342</v>
      </c>
      <c r="H26" s="367"/>
      <c r="I26" s="367"/>
      <c r="J26" s="367"/>
      <c r="K26" s="367"/>
      <c r="L26" s="367"/>
      <c r="M26" s="367"/>
      <c r="N26" s="367"/>
      <c r="O26" s="296"/>
    </row>
    <row r="27" spans="1:15" ht="15.6" customHeight="1" x14ac:dyDescent="0.25">
      <c r="A27" s="225"/>
      <c r="B27" s="308"/>
      <c r="C27" s="221"/>
      <c r="D27" s="369"/>
      <c r="E27" s="221"/>
      <c r="F27" s="308"/>
      <c r="G27" s="295" t="s">
        <v>345</v>
      </c>
      <c r="H27" s="367"/>
      <c r="I27" s="367"/>
      <c r="J27" s="367"/>
      <c r="K27" s="367"/>
      <c r="L27" s="367"/>
      <c r="M27" s="367"/>
      <c r="N27" s="367"/>
      <c r="O27" s="296"/>
    </row>
    <row r="28" spans="1:15" x14ac:dyDescent="0.25">
      <c r="A28" s="225"/>
      <c r="B28" s="350"/>
      <c r="C28" s="163"/>
      <c r="D28" s="350"/>
      <c r="E28" s="163"/>
      <c r="F28" s="308"/>
      <c r="G28" s="38"/>
      <c r="H28" s="310"/>
      <c r="I28" s="310"/>
      <c r="J28" s="310"/>
      <c r="K28" s="310"/>
      <c r="L28" s="310"/>
      <c r="M28" s="310"/>
      <c r="N28" s="310"/>
      <c r="O28" s="25"/>
    </row>
    <row r="29" spans="1:15" ht="43.9" customHeight="1" x14ac:dyDescent="0.25">
      <c r="A29" s="225"/>
      <c r="B29" s="350"/>
      <c r="C29" s="164"/>
      <c r="D29" s="350"/>
      <c r="E29" s="164"/>
      <c r="F29" s="308"/>
      <c r="G29" s="298" t="s">
        <v>346</v>
      </c>
      <c r="H29" s="299"/>
      <c r="I29" s="299"/>
      <c r="J29" s="299"/>
      <c r="K29" s="299"/>
      <c r="L29" s="299"/>
      <c r="M29" s="299"/>
      <c r="N29" s="299"/>
      <c r="O29" s="300"/>
    </row>
    <row r="30" spans="1:15" ht="40.15" customHeight="1" x14ac:dyDescent="0.25">
      <c r="A30" s="225"/>
      <c r="B30" s="157" t="s">
        <v>37</v>
      </c>
      <c r="C30" s="353" t="s">
        <v>347</v>
      </c>
      <c r="D30" s="354"/>
      <c r="E30" s="354"/>
      <c r="F30" s="354"/>
      <c r="G30" s="354"/>
      <c r="H30" s="354"/>
      <c r="I30" s="354"/>
      <c r="J30" s="354"/>
      <c r="K30" s="354"/>
      <c r="L30" s="354"/>
      <c r="M30" s="354"/>
      <c r="N30" s="354"/>
      <c r="O30" s="355"/>
    </row>
    <row r="31" spans="1:15" ht="97.5" customHeight="1" x14ac:dyDescent="0.25">
      <c r="A31" s="286"/>
      <c r="B31" s="157" t="s">
        <v>39</v>
      </c>
      <c r="C31" s="353" t="s">
        <v>384</v>
      </c>
      <c r="D31" s="354"/>
      <c r="E31" s="354"/>
      <c r="F31" s="354"/>
      <c r="G31" s="354"/>
      <c r="H31" s="354"/>
      <c r="I31" s="354"/>
      <c r="J31" s="354"/>
      <c r="K31" s="354"/>
      <c r="L31" s="354"/>
      <c r="M31" s="354"/>
      <c r="N31" s="354"/>
      <c r="O31" s="355"/>
    </row>
  </sheetData>
  <mergeCells count="42">
    <mergeCell ref="A1:O1"/>
    <mergeCell ref="A2:O2"/>
    <mergeCell ref="A3:O3"/>
    <mergeCell ref="A4:O4"/>
    <mergeCell ref="K7:O7"/>
    <mergeCell ref="J6:O6"/>
    <mergeCell ref="G27:O27"/>
    <mergeCell ref="G9:O10"/>
    <mergeCell ref="G29:O29"/>
    <mergeCell ref="C30:O30"/>
    <mergeCell ref="C31:O31"/>
    <mergeCell ref="G20:O20"/>
    <mergeCell ref="C18:C20"/>
    <mergeCell ref="E18:E20"/>
    <mergeCell ref="F12:F29"/>
    <mergeCell ref="D17:D20"/>
    <mergeCell ref="D21:D24"/>
    <mergeCell ref="A12:A31"/>
    <mergeCell ref="A11:O11"/>
    <mergeCell ref="G21:O21"/>
    <mergeCell ref="G22:O22"/>
    <mergeCell ref="G23:O23"/>
    <mergeCell ref="G24:O24"/>
    <mergeCell ref="G25:O25"/>
    <mergeCell ref="G26:O26"/>
    <mergeCell ref="G12:O12"/>
    <mergeCell ref="G13:O13"/>
    <mergeCell ref="G14:O14"/>
    <mergeCell ref="G15:O15"/>
    <mergeCell ref="G16:O16"/>
    <mergeCell ref="G17:O17"/>
    <mergeCell ref="G18:O18"/>
    <mergeCell ref="G19:O19"/>
    <mergeCell ref="B25:B27"/>
    <mergeCell ref="C25:C27"/>
    <mergeCell ref="D25:D27"/>
    <mergeCell ref="E25:E27"/>
    <mergeCell ref="B9:C9"/>
    <mergeCell ref="B13:B14"/>
    <mergeCell ref="C13:C14"/>
    <mergeCell ref="E13:E14"/>
    <mergeCell ref="B18:B20"/>
  </mergeCells>
  <printOptions horizontalCentered="1"/>
  <pageMargins left="0.70866141732283472" right="0.70866141732283472" top="0.74803149606299213" bottom="0.74803149606299213" header="0.31496062992125984" footer="0.31496062992125984"/>
  <pageSetup scale="65" orientation="landscape"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93D9-60CD-496C-A636-881B8789B1C6}">
  <dimension ref="A1:O21"/>
  <sheetViews>
    <sheetView view="pageBreakPreview" topLeftCell="A8" zoomScale="115" zoomScaleNormal="100" zoomScaleSheetLayoutView="115" workbookViewId="0">
      <selection activeCell="C21" sqref="C21:L21"/>
    </sheetView>
  </sheetViews>
  <sheetFormatPr baseColWidth="10" defaultRowHeight="15" x14ac:dyDescent="0.25"/>
  <cols>
    <col min="2" max="2" width="16.28515625" customWidth="1"/>
    <col min="4" max="4" width="33.85546875" customWidth="1"/>
    <col min="12" max="12" width="7.42578125" customWidth="1"/>
  </cols>
  <sheetData>
    <row r="1" spans="1:15" x14ac:dyDescent="0.25">
      <c r="A1" s="289" t="s">
        <v>321</v>
      </c>
      <c r="B1" s="289"/>
      <c r="C1" s="289"/>
      <c r="D1" s="289"/>
      <c r="E1" s="289"/>
      <c r="F1" s="289"/>
      <c r="G1" s="289"/>
      <c r="H1" s="289"/>
      <c r="I1" s="289"/>
      <c r="J1" s="289"/>
      <c r="K1" s="289"/>
      <c r="L1" s="289"/>
      <c r="M1" s="165"/>
      <c r="N1" s="165"/>
      <c r="O1" s="165"/>
    </row>
    <row r="2" spans="1:15" x14ac:dyDescent="0.25">
      <c r="A2" s="289" t="s">
        <v>322</v>
      </c>
      <c r="B2" s="289"/>
      <c r="C2" s="289"/>
      <c r="D2" s="289"/>
      <c r="E2" s="289"/>
      <c r="F2" s="289"/>
      <c r="G2" s="289"/>
      <c r="H2" s="289"/>
      <c r="I2" s="289"/>
      <c r="J2" s="289"/>
      <c r="K2" s="289"/>
      <c r="L2" s="289"/>
      <c r="M2" s="165"/>
      <c r="N2" s="165"/>
      <c r="O2" s="165"/>
    </row>
    <row r="3" spans="1:15" x14ac:dyDescent="0.25">
      <c r="A3" s="289" t="s">
        <v>323</v>
      </c>
      <c r="B3" s="289"/>
      <c r="C3" s="289"/>
      <c r="D3" s="289"/>
      <c r="E3" s="289"/>
      <c r="F3" s="289"/>
      <c r="G3" s="289"/>
      <c r="H3" s="289"/>
      <c r="I3" s="289"/>
      <c r="J3" s="289"/>
      <c r="K3" s="289"/>
      <c r="L3" s="289"/>
      <c r="M3" s="165"/>
      <c r="N3" s="165"/>
      <c r="O3" s="165"/>
    </row>
    <row r="4" spans="1:15" x14ac:dyDescent="0.25">
      <c r="A4" s="289" t="s">
        <v>324</v>
      </c>
      <c r="B4" s="289"/>
      <c r="C4" s="289"/>
      <c r="D4" s="289"/>
      <c r="E4" s="289"/>
      <c r="F4" s="289"/>
      <c r="G4" s="289"/>
      <c r="H4" s="289"/>
      <c r="I4" s="289"/>
      <c r="J4" s="289"/>
      <c r="K4" s="289"/>
      <c r="L4" s="289"/>
      <c r="M4" s="165"/>
      <c r="N4" s="165"/>
      <c r="O4" s="165"/>
    </row>
    <row r="5" spans="1:15" x14ac:dyDescent="0.25">
      <c r="E5" s="166"/>
    </row>
    <row r="6" spans="1:15" x14ac:dyDescent="0.25">
      <c r="A6" t="s">
        <v>371</v>
      </c>
      <c r="E6" s="166"/>
      <c r="F6" s="290" t="s">
        <v>359</v>
      </c>
      <c r="G6" s="290"/>
      <c r="H6" s="290"/>
      <c r="I6" s="290"/>
      <c r="J6" s="290"/>
      <c r="K6" s="290"/>
      <c r="L6" s="290"/>
    </row>
    <row r="7" spans="1:15" x14ac:dyDescent="0.25">
      <c r="A7" t="s">
        <v>327</v>
      </c>
      <c r="C7" s="59"/>
      <c r="E7" s="99"/>
      <c r="F7" s="290" t="s">
        <v>326</v>
      </c>
      <c r="G7" s="290"/>
      <c r="H7" s="290"/>
      <c r="I7" s="290"/>
      <c r="J7" s="290"/>
      <c r="K7" s="290"/>
      <c r="L7" s="290"/>
    </row>
    <row r="10" spans="1:15" ht="18" x14ac:dyDescent="0.25">
      <c r="A10" s="302" t="s">
        <v>0</v>
      </c>
      <c r="B10" s="291" t="s">
        <v>1</v>
      </c>
      <c r="C10" s="291"/>
      <c r="D10" s="297" t="s">
        <v>2</v>
      </c>
      <c r="E10" s="160" t="s">
        <v>3</v>
      </c>
      <c r="F10" s="160" t="s">
        <v>5</v>
      </c>
      <c r="G10" s="297" t="s">
        <v>6</v>
      </c>
      <c r="H10" s="297"/>
      <c r="I10" s="297"/>
      <c r="J10" s="297"/>
      <c r="K10" s="297"/>
      <c r="L10" s="297"/>
    </row>
    <row r="11" spans="1:15" ht="18" x14ac:dyDescent="0.25">
      <c r="A11" s="302"/>
      <c r="B11" s="160" t="s">
        <v>7</v>
      </c>
      <c r="C11" s="160" t="s">
        <v>8</v>
      </c>
      <c r="D11" s="297"/>
      <c r="E11" s="160" t="s">
        <v>4</v>
      </c>
      <c r="F11" s="160" t="s">
        <v>4</v>
      </c>
      <c r="G11" s="297"/>
      <c r="H11" s="297"/>
      <c r="I11" s="297"/>
      <c r="J11" s="297"/>
      <c r="K11" s="297"/>
      <c r="L11" s="297"/>
    </row>
    <row r="12" spans="1:15" ht="14.45" customHeight="1" x14ac:dyDescent="0.25">
      <c r="A12" s="303" t="s">
        <v>79</v>
      </c>
      <c r="B12" s="303"/>
      <c r="C12" s="303"/>
      <c r="D12" s="303"/>
      <c r="E12" s="303"/>
      <c r="F12" s="303"/>
      <c r="G12" s="303"/>
      <c r="H12" s="303"/>
      <c r="I12" s="303"/>
      <c r="J12" s="303"/>
      <c r="K12" s="303"/>
      <c r="L12" s="303"/>
    </row>
    <row r="13" spans="1:15" ht="45" customHeight="1" x14ac:dyDescent="0.25">
      <c r="A13" s="224">
        <v>1</v>
      </c>
      <c r="B13" s="30"/>
      <c r="C13" s="36"/>
      <c r="D13" s="33" t="s">
        <v>353</v>
      </c>
      <c r="E13" s="97"/>
      <c r="F13" s="235"/>
      <c r="G13" s="211" t="s">
        <v>358</v>
      </c>
      <c r="H13" s="212"/>
      <c r="I13" s="212"/>
      <c r="J13" s="212"/>
      <c r="K13" s="212"/>
      <c r="L13" s="213"/>
    </row>
    <row r="14" spans="1:15" ht="29.45" customHeight="1" x14ac:dyDescent="0.25">
      <c r="A14" s="225"/>
      <c r="B14" s="27" t="s">
        <v>349</v>
      </c>
      <c r="C14" s="32">
        <v>45747</v>
      </c>
      <c r="D14" s="34" t="s">
        <v>350</v>
      </c>
      <c r="E14" s="105">
        <v>571.08000000000004</v>
      </c>
      <c r="F14" s="221"/>
      <c r="G14" s="214"/>
      <c r="H14" s="181"/>
      <c r="I14" s="181"/>
      <c r="J14" s="181"/>
      <c r="K14" s="181"/>
      <c r="L14" s="215"/>
    </row>
    <row r="15" spans="1:15" x14ac:dyDescent="0.25">
      <c r="A15" s="225"/>
      <c r="B15" s="27" t="s">
        <v>351</v>
      </c>
      <c r="C15" s="32">
        <v>45806</v>
      </c>
      <c r="D15" s="34" t="s">
        <v>354</v>
      </c>
      <c r="E15" s="105">
        <v>648.77</v>
      </c>
      <c r="F15" s="221"/>
      <c r="G15" s="214"/>
      <c r="H15" s="181"/>
      <c r="I15" s="181"/>
      <c r="J15" s="181"/>
      <c r="K15" s="181"/>
      <c r="L15" s="215"/>
    </row>
    <row r="16" spans="1:15" x14ac:dyDescent="0.25">
      <c r="A16" s="225"/>
      <c r="B16" s="31"/>
      <c r="C16" s="36"/>
      <c r="D16" s="34"/>
      <c r="E16" s="98"/>
      <c r="F16" s="221"/>
      <c r="G16" s="214"/>
      <c r="H16" s="181"/>
      <c r="I16" s="181"/>
      <c r="J16" s="181"/>
      <c r="K16" s="181"/>
      <c r="L16" s="215"/>
    </row>
    <row r="17" spans="1:12" x14ac:dyDescent="0.25">
      <c r="A17" s="225"/>
      <c r="B17" s="27" t="s">
        <v>352</v>
      </c>
      <c r="C17" s="32">
        <v>45806</v>
      </c>
      <c r="D17" s="34" t="s">
        <v>354</v>
      </c>
      <c r="E17" s="105">
        <v>9060.48</v>
      </c>
      <c r="F17" s="221"/>
      <c r="G17" s="214"/>
      <c r="H17" s="181"/>
      <c r="I17" s="181"/>
      <c r="J17" s="181"/>
      <c r="K17" s="181"/>
      <c r="L17" s="215"/>
    </row>
    <row r="18" spans="1:12" ht="19.5" x14ac:dyDescent="0.25">
      <c r="A18" s="225"/>
      <c r="B18" s="27" t="s">
        <v>134</v>
      </c>
      <c r="C18" s="32">
        <v>45798</v>
      </c>
      <c r="D18" s="34" t="s">
        <v>355</v>
      </c>
      <c r="E18" s="105">
        <v>62316.44</v>
      </c>
      <c r="F18" s="221"/>
      <c r="G18" s="214"/>
      <c r="H18" s="181"/>
      <c r="I18" s="181"/>
      <c r="J18" s="181"/>
      <c r="K18" s="181"/>
      <c r="L18" s="215"/>
    </row>
    <row r="19" spans="1:12" ht="39" customHeight="1" x14ac:dyDescent="0.25">
      <c r="A19" s="225"/>
      <c r="B19" s="148" t="s">
        <v>135</v>
      </c>
      <c r="C19" s="32">
        <v>45791</v>
      </c>
      <c r="D19" s="34" t="s">
        <v>356</v>
      </c>
      <c r="E19" s="105">
        <v>62316.44</v>
      </c>
      <c r="F19" s="221"/>
      <c r="G19" s="277"/>
      <c r="H19" s="278"/>
      <c r="I19" s="278"/>
      <c r="J19" s="278"/>
      <c r="K19" s="278"/>
      <c r="L19" s="279"/>
    </row>
    <row r="20" spans="1:12" ht="67.5" customHeight="1" x14ac:dyDescent="0.25">
      <c r="A20" s="225"/>
      <c r="B20" s="155" t="s">
        <v>37</v>
      </c>
      <c r="C20" s="371" t="s">
        <v>357</v>
      </c>
      <c r="D20" s="354"/>
      <c r="E20" s="354"/>
      <c r="F20" s="354"/>
      <c r="G20" s="354"/>
      <c r="H20" s="354"/>
      <c r="I20" s="354"/>
      <c r="J20" s="354"/>
      <c r="K20" s="354"/>
      <c r="L20" s="355"/>
    </row>
    <row r="21" spans="1:12" ht="66.75" customHeight="1" x14ac:dyDescent="0.25">
      <c r="A21" s="286"/>
      <c r="B21" s="40" t="s">
        <v>39</v>
      </c>
      <c r="C21" s="372" t="s">
        <v>376</v>
      </c>
      <c r="D21" s="372"/>
      <c r="E21" s="372"/>
      <c r="F21" s="372"/>
      <c r="G21" s="372"/>
      <c r="H21" s="372"/>
      <c r="I21" s="372"/>
      <c r="J21" s="372"/>
      <c r="K21" s="372"/>
      <c r="L21" s="373"/>
    </row>
  </sheetData>
  <mergeCells count="16">
    <mergeCell ref="F6:L6"/>
    <mergeCell ref="F7:L7"/>
    <mergeCell ref="A1:L1"/>
    <mergeCell ref="A2:L2"/>
    <mergeCell ref="A3:L3"/>
    <mergeCell ref="A4:L4"/>
    <mergeCell ref="C20:L20"/>
    <mergeCell ref="C21:L21"/>
    <mergeCell ref="G10:L11"/>
    <mergeCell ref="D10:D11"/>
    <mergeCell ref="A10:A11"/>
    <mergeCell ref="A12:L12"/>
    <mergeCell ref="A13:A21"/>
    <mergeCell ref="G13:L19"/>
    <mergeCell ref="B10:C10"/>
    <mergeCell ref="F13:F19"/>
  </mergeCells>
  <printOptions horizontalCentered="1"/>
  <pageMargins left="0.70866141732283472" right="0.70866141732283472" top="0.74803149606299213" bottom="0.74803149606299213" header="0.31496062992125984" footer="0.31496062992125984"/>
  <pageSetup scale="65" orientation="landscape"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SA</vt:lpstr>
      <vt:lpstr>PEFCF</vt:lpstr>
      <vt:lpstr>R</vt:lpstr>
      <vt:lpstr>PEFCF!Área_de_impresión</vt:lpstr>
      <vt:lpstr>SA!Área_de_impresión</vt:lpstr>
      <vt:lpstr>SA!Títulos_a_imprimir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Conferencias Ccl Tlaxcala</dc:creator>
  <cp:lastModifiedBy>CCLET_ADMINISTRATIVO1 TLAXCALA</cp:lastModifiedBy>
  <cp:lastPrinted>2025-11-19T17:27:17Z</cp:lastPrinted>
  <dcterms:created xsi:type="dcterms:W3CDTF">2025-11-15T03:18:04Z</dcterms:created>
  <dcterms:modified xsi:type="dcterms:W3CDTF">2025-11-19T21:19:29Z</dcterms:modified>
</cp:coreProperties>
</file>